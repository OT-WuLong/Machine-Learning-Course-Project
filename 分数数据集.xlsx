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40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<sst xmlns="http://schemas.openxmlformats.org/spreadsheetml/2006/main" count="857" uniqueCount="122">
  <si>
    <t>学生姓名</t>
  </si>
  <si>
    <t>线上成绩（60%）</t>
  </si>
  <si>
    <t>线下成绩（40%）</t>
  </si>
  <si>
    <t>总成绩（线上+线下）</t>
  </si>
  <si>
    <t>总成绩（平时+期末）</t>
  </si>
  <si>
    <t>平时成绩</t>
  </si>
  <si>
    <t>期末成绩</t>
  </si>
  <si>
    <t>平时成绩（50%）</t>
  </si>
  <si>
    <t>章测试（10%）</t>
  </si>
  <si>
    <t>期末考试（40%）</t>
  </si>
  <si>
    <t>线上总成绩</t>
  </si>
  <si>
    <t>线下互动（20%）</t>
  </si>
  <si>
    <t>期末考试（80%）</t>
  </si>
  <si>
    <t>线下总成绩</t>
  </si>
  <si>
    <t>合计</t>
  </si>
  <si>
    <t>XXX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</si>
  <si>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</si>
  <si>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</si>
  <si>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</si>
  <si>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</si>
  <si>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</si>
  <si>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</si>
  <si>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</si>
  <si>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</si>
  <si>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</si>
  <si>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</si>
  <si>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</si>
  <si>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</si>
  <si>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</si>
  <si>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</si>
  <si>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</si>
  <si>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</si>
  <si>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</si>
  <si>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</si>
  <si>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</si>
  <si>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</si>
  <si>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</si>
  <si>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</si>
  <si>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</si>
  <si>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</si>
  <si>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</si>
  <si>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</si>
  <si>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</si>
  <si>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</si>
  <si>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</si>
  <si>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</si>
  <si>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</si>
  <si>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</si>
  <si>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</si>
  <si>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</si>
  <si>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</si>
  <si>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</si>
  <si>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</si>
  <si>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</si>
  <si>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</si>
  <si>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</si>
  <si>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</si>
  <si>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</si>
  <si>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</si>
  <si>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</si>
  <si>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</si>
  <si>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</si>
  <si>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</si>
  <si>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</si>
  <si>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</si>
  <si>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</si>
  <si>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</si>
  <si>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</si>
  <si>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</si>
  <si>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</si>
  <si>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</si>
  <si>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</si>
  <si>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</si>
  <si>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</si>
  <si>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</si>
  <si>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</si>
  <si>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</si>
  <si>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</si>
  <si>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</si>
  <si>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</si>
  <si>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</si>
  <si>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</si>
  <si>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</si>
  <si>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</si>
  <si>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</si>
  <si>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</si>
  <si>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</si>
  <si>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</si>
  <si>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</si>
  <si>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</si>
  <si>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</si>
  <si>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</si>
  <si>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</si>
  <si>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</si>
  <si>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</si>
  <si>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</si>
  <si>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</si>
  <si>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</si>
  <si>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</si>
  <si>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</si>
  <si>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</si>
  <si>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</si>
  <si>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r>
      <t>X</t>
    </r>
    <r>
      <rPr>
        <sz val="9"/>
        <rFont val="宋体"/>
        <charset val="134"/>
      </rPr>
      <t>XX</t>
    </r>
  </si>
  <si>
    <t>张三</t>
  </si>
  <si>
    <t>李四</t>
  </si>
  <si>
    <t>98</t>
  </si>
  <si>
    <t>88</t>
  </si>
  <si>
    <t>89</t>
  </si>
  <si>
    <t>99</t>
  </si>
  <si>
    <t>87</t>
  </si>
  <si>
    <t>91</t>
  </si>
  <si>
    <t>97</t>
  </si>
  <si>
    <t>96</t>
  </si>
  <si>
    <t>90</t>
  </si>
  <si>
    <t>92</t>
  </si>
  <si>
    <t>94</t>
  </si>
  <si>
    <t>95</t>
  </si>
  <si>
    <t>0</t>
  </si>
  <si>
    <t>93</t>
  </si>
  <si>
    <r>
      <t>X</t>
    </r>
    <r>
      <rPr>
        <sz val="9"/>
        <rFont val="宋体"/>
        <charset val="134"/>
      </rPr>
      <t>XX</t>
    </r>
  </si>
  <si>
    <t>赵六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</si>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</sst>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等线"/>
      <charset val="134"/>
      <scheme val="minor"/>
    </font>
    <font>
      <b/>
      <sz val="1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10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color theme="1"/>
      <name val="宋体"/>
      <charset val="134"/>
    </font>
    <font>
      <sz val="10"/>
      <color theme="1"/>
      <name val="宋体"/>
      <charset val="134"/>
    </font>
    <font>
      <sz val="9"/>
      <color rgb="FF2A2A2A"/>
      <name val="宋体"/>
      <charset val="134"/>
    </font>
    <font>
      <sz val="9"/>
      <color rgb="FFFF0000"/>
      <name val="宋体"/>
      <charset val="134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6" borderId="15" applyNumberFormat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18" fillId="0" borderId="0"/>
    <xf numFmtId="0" fontId="18" fillId="0" borderId="0"/>
  </cellStyleXfs>
  <cellXfs count="9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0" fontId="3" fillId="0" borderId="8" xfId="0" applyNumberFormat="1" applyFont="1" applyFill="1" applyBorder="1" applyAlignment="1">
      <alignment horizontal="center" vertical="center" wrapText="1"/>
    </xf>
    <xf numFmtId="0" fontId="5" fillId="0" borderId="6" xfId="5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0" fontId="3" fillId="0" borderId="8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>
      <alignment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0" fontId="9" fillId="0" borderId="8" xfId="0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2" fillId="0" borderId="6" xfId="0" applyFont="1" applyFill="1" applyBorder="1" applyAlignment="1">
      <alignment horizontal="center"/>
    </xf>
    <xf numFmtId="176" fontId="11" fillId="0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vertical="center"/>
    </xf>
    <xf numFmtId="0" fontId="13" fillId="0" borderId="6" xfId="0" applyFont="1" applyFill="1" applyBorder="1" applyAlignment="1"/>
    <xf numFmtId="0" fontId="3" fillId="0" borderId="9" xfId="0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0" fontId="14" fillId="0" borderId="8" xfId="0" applyNumberFormat="1" applyFont="1" applyFill="1" applyBorder="1" applyAlignment="1">
      <alignment horizontal="center" vertical="center" wrapText="1"/>
    </xf>
    <xf numFmtId="0" fontId="11" fillId="0" borderId="6" xfId="50" applyFont="1" applyFill="1" applyBorder="1"/>
    <xf numFmtId="0" fontId="15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6" xfId="0" applyNumberFormat="1" applyFont="1" applyFill="1" applyBorder="1" applyAlignment="1">
      <alignment horizontal="center" vertical="center"/>
    </xf>
    <xf numFmtId="0" fontId="15" fillId="0" borderId="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11" fillId="0" borderId="6" xfId="0" applyNumberFormat="1" applyFont="1" applyFill="1" applyBorder="1" applyAlignment="1">
      <alignment horizontal="center" vertical="center"/>
    </xf>
    <xf numFmtId="0" fontId="14" fillId="0" borderId="6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4" fillId="0" borderId="6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7" fillId="0" borderId="6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0" fontId="14" fillId="3" borderId="8" xfId="0" applyNumberFormat="1" applyFont="1" applyFill="1" applyBorder="1" applyAlignment="1">
      <alignment horizontal="center" vertical="center" wrapText="1"/>
    </xf>
    <xf numFmtId="0" fontId="11" fillId="0" borderId="6" xfId="50" applyFont="1" applyFill="1" applyBorder="1"/>
    <xf numFmtId="0" fontId="15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0" borderId="6" xfId="0" applyNumberFormat="1" applyFont="1" applyBorder="1" applyAlignment="1">
      <alignment horizontal="center" vertical="center"/>
    </xf>
    <xf numFmtId="0" fontId="15" fillId="3" borderId="6" xfId="0" applyNumberFormat="1" applyFont="1" applyFill="1" applyBorder="1" applyAlignment="1">
      <alignment horizontal="center" vertical="center"/>
    </xf>
    <xf numFmtId="0" fontId="18" fillId="0" borderId="6" xfId="50" applyFill="1" applyBorder="1"/>
    <xf numFmtId="0" fontId="15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zoomScale="85" zoomScaleNormal="85" workbookViewId="0">
      <selection activeCell="D67" sqref="D67"/>
    </sheetView>
  </sheetViews>
  <sheetFormatPr defaultColWidth="9" defaultRowHeight="16.8"/>
  <cols>
    <col min="1" max="1" width="10.75" customWidth="1"/>
    <col min="2" max="2" width="13.5" customWidth="1"/>
    <col min="3" max="3" width="12.25" customWidth="1"/>
    <col min="4" max="4" width="12.875" customWidth="1"/>
    <col min="5" max="5" width="14.75" customWidth="1"/>
    <col min="6" max="6" width="13.25" customWidth="1"/>
    <col min="7" max="7" width="14.625" customWidth="1"/>
    <col min="8" max="8" width="21.5" customWidth="1"/>
    <col min="9" max="9" width="20.5" customWidth="1"/>
    <col min="10" max="10" width="19.375" customWidth="1"/>
    <col min="254" max="254" width="9.375" customWidth="1"/>
    <col min="255" max="255" width="8" customWidth="1"/>
    <col min="256" max="256" width="7.375" customWidth="1"/>
    <col min="257" max="259" width="8" customWidth="1"/>
    <col min="260" max="260" width="9.625" customWidth="1"/>
    <col min="261" max="262" width="8" customWidth="1"/>
    <col min="263" max="263" width="9.625" customWidth="1"/>
    <col min="264" max="264" width="6.875" customWidth="1"/>
    <col min="510" max="510" width="9.375" customWidth="1"/>
    <col min="511" max="511" width="8" customWidth="1"/>
    <col min="512" max="512" width="7.375" customWidth="1"/>
    <col min="513" max="515" width="8" customWidth="1"/>
    <col min="516" max="516" width="9.625" customWidth="1"/>
    <col min="517" max="518" width="8" customWidth="1"/>
    <col min="519" max="519" width="9.625" customWidth="1"/>
    <col min="520" max="520" width="6.875" customWidth="1"/>
    <col min="766" max="766" width="9.375" customWidth="1"/>
    <col min="767" max="767" width="8" customWidth="1"/>
    <col min="768" max="768" width="7.375" customWidth="1"/>
    <col min="769" max="771" width="8" customWidth="1"/>
    <col min="772" max="772" width="9.625" customWidth="1"/>
    <col min="773" max="774" width="8" customWidth="1"/>
    <col min="775" max="775" width="9.625" customWidth="1"/>
    <col min="776" max="776" width="6.875" customWidth="1"/>
    <col min="1022" max="1022" width="9.375" customWidth="1"/>
    <col min="1023" max="1023" width="8" customWidth="1"/>
    <col min="1024" max="1024" width="7.375" customWidth="1"/>
    <col min="1025" max="1027" width="8" customWidth="1"/>
    <col min="1028" max="1028" width="9.625" customWidth="1"/>
    <col min="1029" max="1030" width="8" customWidth="1"/>
    <col min="1031" max="1031" width="9.625" customWidth="1"/>
    <col min="1032" max="1032" width="6.875" customWidth="1"/>
    <col min="1278" max="1278" width="9.375" customWidth="1"/>
    <col min="1279" max="1279" width="8" customWidth="1"/>
    <col min="1280" max="1280" width="7.375" customWidth="1"/>
    <col min="1281" max="1283" width="8" customWidth="1"/>
    <col min="1284" max="1284" width="9.625" customWidth="1"/>
    <col min="1285" max="1286" width="8" customWidth="1"/>
    <col min="1287" max="1287" width="9.625" customWidth="1"/>
    <col min="1288" max="1288" width="6.875" customWidth="1"/>
    <col min="1534" max="1534" width="9.375" customWidth="1"/>
    <col min="1535" max="1535" width="8" customWidth="1"/>
    <col min="1536" max="1536" width="7.375" customWidth="1"/>
    <col min="1537" max="1539" width="8" customWidth="1"/>
    <col min="1540" max="1540" width="9.625" customWidth="1"/>
    <col min="1541" max="1542" width="8" customWidth="1"/>
    <col min="1543" max="1543" width="9.625" customWidth="1"/>
    <col min="1544" max="1544" width="6.875" customWidth="1"/>
    <col min="1790" max="1790" width="9.375" customWidth="1"/>
    <col min="1791" max="1791" width="8" customWidth="1"/>
    <col min="1792" max="1792" width="7.375" customWidth="1"/>
    <col min="1793" max="1795" width="8" customWidth="1"/>
    <col min="1796" max="1796" width="9.625" customWidth="1"/>
    <col min="1797" max="1798" width="8" customWidth="1"/>
    <col min="1799" max="1799" width="9.625" customWidth="1"/>
    <col min="1800" max="1800" width="6.875" customWidth="1"/>
    <col min="2046" max="2046" width="9.375" customWidth="1"/>
    <col min="2047" max="2047" width="8" customWidth="1"/>
    <col min="2048" max="2048" width="7.375" customWidth="1"/>
    <col min="2049" max="2051" width="8" customWidth="1"/>
    <col min="2052" max="2052" width="9.625" customWidth="1"/>
    <col min="2053" max="2054" width="8" customWidth="1"/>
    <col min="2055" max="2055" width="9.625" customWidth="1"/>
    <col min="2056" max="2056" width="6.875" customWidth="1"/>
    <col min="2302" max="2302" width="9.375" customWidth="1"/>
    <col min="2303" max="2303" width="8" customWidth="1"/>
    <col min="2304" max="2304" width="7.375" customWidth="1"/>
    <col min="2305" max="2307" width="8" customWidth="1"/>
    <col min="2308" max="2308" width="9.625" customWidth="1"/>
    <col min="2309" max="2310" width="8" customWidth="1"/>
    <col min="2311" max="2311" width="9.625" customWidth="1"/>
    <col min="2312" max="2312" width="6.875" customWidth="1"/>
    <col min="2558" max="2558" width="9.375" customWidth="1"/>
    <col min="2559" max="2559" width="8" customWidth="1"/>
    <col min="2560" max="2560" width="7.375" customWidth="1"/>
    <col min="2561" max="2563" width="8" customWidth="1"/>
    <col min="2564" max="2564" width="9.625" customWidth="1"/>
    <col min="2565" max="2566" width="8" customWidth="1"/>
    <col min="2567" max="2567" width="9.625" customWidth="1"/>
    <col min="2568" max="2568" width="6.875" customWidth="1"/>
    <col min="2814" max="2814" width="9.375" customWidth="1"/>
    <col min="2815" max="2815" width="8" customWidth="1"/>
    <col min="2816" max="2816" width="7.375" customWidth="1"/>
    <col min="2817" max="2819" width="8" customWidth="1"/>
    <col min="2820" max="2820" width="9.625" customWidth="1"/>
    <col min="2821" max="2822" width="8" customWidth="1"/>
    <col min="2823" max="2823" width="9.625" customWidth="1"/>
    <col min="2824" max="2824" width="6.875" customWidth="1"/>
    <col min="3070" max="3070" width="9.375" customWidth="1"/>
    <col min="3071" max="3071" width="8" customWidth="1"/>
    <col min="3072" max="3072" width="7.375" customWidth="1"/>
    <col min="3073" max="3075" width="8" customWidth="1"/>
    <col min="3076" max="3076" width="9.625" customWidth="1"/>
    <col min="3077" max="3078" width="8" customWidth="1"/>
    <col min="3079" max="3079" width="9.625" customWidth="1"/>
    <col min="3080" max="3080" width="6.875" customWidth="1"/>
    <col min="3326" max="3326" width="9.375" customWidth="1"/>
    <col min="3327" max="3327" width="8" customWidth="1"/>
    <col min="3328" max="3328" width="7.375" customWidth="1"/>
    <col min="3329" max="3331" width="8" customWidth="1"/>
    <col min="3332" max="3332" width="9.625" customWidth="1"/>
    <col min="3333" max="3334" width="8" customWidth="1"/>
    <col min="3335" max="3335" width="9.625" customWidth="1"/>
    <col min="3336" max="3336" width="6.875" customWidth="1"/>
    <col min="3582" max="3582" width="9.375" customWidth="1"/>
    <col min="3583" max="3583" width="8" customWidth="1"/>
    <col min="3584" max="3584" width="7.375" customWidth="1"/>
    <col min="3585" max="3587" width="8" customWidth="1"/>
    <col min="3588" max="3588" width="9.625" customWidth="1"/>
    <col min="3589" max="3590" width="8" customWidth="1"/>
    <col min="3591" max="3591" width="9.625" customWidth="1"/>
    <col min="3592" max="3592" width="6.875" customWidth="1"/>
    <col min="3838" max="3838" width="9.375" customWidth="1"/>
    <col min="3839" max="3839" width="8" customWidth="1"/>
    <col min="3840" max="3840" width="7.375" customWidth="1"/>
    <col min="3841" max="3843" width="8" customWidth="1"/>
    <col min="3844" max="3844" width="9.625" customWidth="1"/>
    <col min="3845" max="3846" width="8" customWidth="1"/>
    <col min="3847" max="3847" width="9.625" customWidth="1"/>
    <col min="3848" max="3848" width="6.875" customWidth="1"/>
    <col min="4094" max="4094" width="9.375" customWidth="1"/>
    <col min="4095" max="4095" width="8" customWidth="1"/>
    <col min="4096" max="4096" width="7.375" customWidth="1"/>
    <col min="4097" max="4099" width="8" customWidth="1"/>
    <col min="4100" max="4100" width="9.625" customWidth="1"/>
    <col min="4101" max="4102" width="8" customWidth="1"/>
    <col min="4103" max="4103" width="9.625" customWidth="1"/>
    <col min="4104" max="4104" width="6.875" customWidth="1"/>
    <col min="4350" max="4350" width="9.375" customWidth="1"/>
    <col min="4351" max="4351" width="8" customWidth="1"/>
    <col min="4352" max="4352" width="7.375" customWidth="1"/>
    <col min="4353" max="4355" width="8" customWidth="1"/>
    <col min="4356" max="4356" width="9.625" customWidth="1"/>
    <col min="4357" max="4358" width="8" customWidth="1"/>
    <col min="4359" max="4359" width="9.625" customWidth="1"/>
    <col min="4360" max="4360" width="6.875" customWidth="1"/>
    <col min="4606" max="4606" width="9.375" customWidth="1"/>
    <col min="4607" max="4607" width="8" customWidth="1"/>
    <col min="4608" max="4608" width="7.375" customWidth="1"/>
    <col min="4609" max="4611" width="8" customWidth="1"/>
    <col min="4612" max="4612" width="9.625" customWidth="1"/>
    <col min="4613" max="4614" width="8" customWidth="1"/>
    <col min="4615" max="4615" width="9.625" customWidth="1"/>
    <col min="4616" max="4616" width="6.875" customWidth="1"/>
    <col min="4862" max="4862" width="9.375" customWidth="1"/>
    <col min="4863" max="4863" width="8" customWidth="1"/>
    <col min="4864" max="4864" width="7.375" customWidth="1"/>
    <col min="4865" max="4867" width="8" customWidth="1"/>
    <col min="4868" max="4868" width="9.625" customWidth="1"/>
    <col min="4869" max="4870" width="8" customWidth="1"/>
    <col min="4871" max="4871" width="9.625" customWidth="1"/>
    <col min="4872" max="4872" width="6.875" customWidth="1"/>
    <col min="5118" max="5118" width="9.375" customWidth="1"/>
    <col min="5119" max="5119" width="8" customWidth="1"/>
    <col min="5120" max="5120" width="7.375" customWidth="1"/>
    <col min="5121" max="5123" width="8" customWidth="1"/>
    <col min="5124" max="5124" width="9.625" customWidth="1"/>
    <col min="5125" max="5126" width="8" customWidth="1"/>
    <col min="5127" max="5127" width="9.625" customWidth="1"/>
    <col min="5128" max="5128" width="6.875" customWidth="1"/>
    <col min="5374" max="5374" width="9.375" customWidth="1"/>
    <col min="5375" max="5375" width="8" customWidth="1"/>
    <col min="5376" max="5376" width="7.375" customWidth="1"/>
    <col min="5377" max="5379" width="8" customWidth="1"/>
    <col min="5380" max="5380" width="9.625" customWidth="1"/>
    <col min="5381" max="5382" width="8" customWidth="1"/>
    <col min="5383" max="5383" width="9.625" customWidth="1"/>
    <col min="5384" max="5384" width="6.875" customWidth="1"/>
    <col min="5630" max="5630" width="9.375" customWidth="1"/>
    <col min="5631" max="5631" width="8" customWidth="1"/>
    <col min="5632" max="5632" width="7.375" customWidth="1"/>
    <col min="5633" max="5635" width="8" customWidth="1"/>
    <col min="5636" max="5636" width="9.625" customWidth="1"/>
    <col min="5637" max="5638" width="8" customWidth="1"/>
    <col min="5639" max="5639" width="9.625" customWidth="1"/>
    <col min="5640" max="5640" width="6.875" customWidth="1"/>
    <col min="5886" max="5886" width="9.375" customWidth="1"/>
    <col min="5887" max="5887" width="8" customWidth="1"/>
    <col min="5888" max="5888" width="7.375" customWidth="1"/>
    <col min="5889" max="5891" width="8" customWidth="1"/>
    <col min="5892" max="5892" width="9.625" customWidth="1"/>
    <col min="5893" max="5894" width="8" customWidth="1"/>
    <col min="5895" max="5895" width="9.625" customWidth="1"/>
    <col min="5896" max="5896" width="6.875" customWidth="1"/>
    <col min="6142" max="6142" width="9.375" customWidth="1"/>
    <col min="6143" max="6143" width="8" customWidth="1"/>
    <col min="6144" max="6144" width="7.375" customWidth="1"/>
    <col min="6145" max="6147" width="8" customWidth="1"/>
    <col min="6148" max="6148" width="9.625" customWidth="1"/>
    <col min="6149" max="6150" width="8" customWidth="1"/>
    <col min="6151" max="6151" width="9.625" customWidth="1"/>
    <col min="6152" max="6152" width="6.875" customWidth="1"/>
    <col min="6398" max="6398" width="9.375" customWidth="1"/>
    <col min="6399" max="6399" width="8" customWidth="1"/>
    <col min="6400" max="6400" width="7.375" customWidth="1"/>
    <col min="6401" max="6403" width="8" customWidth="1"/>
    <col min="6404" max="6404" width="9.625" customWidth="1"/>
    <col min="6405" max="6406" width="8" customWidth="1"/>
    <col min="6407" max="6407" width="9.625" customWidth="1"/>
    <col min="6408" max="6408" width="6.875" customWidth="1"/>
    <col min="6654" max="6654" width="9.375" customWidth="1"/>
    <col min="6655" max="6655" width="8" customWidth="1"/>
    <col min="6656" max="6656" width="7.375" customWidth="1"/>
    <col min="6657" max="6659" width="8" customWidth="1"/>
    <col min="6660" max="6660" width="9.625" customWidth="1"/>
    <col min="6661" max="6662" width="8" customWidth="1"/>
    <col min="6663" max="6663" width="9.625" customWidth="1"/>
    <col min="6664" max="6664" width="6.875" customWidth="1"/>
    <col min="6910" max="6910" width="9.375" customWidth="1"/>
    <col min="6911" max="6911" width="8" customWidth="1"/>
    <col min="6912" max="6912" width="7.375" customWidth="1"/>
    <col min="6913" max="6915" width="8" customWidth="1"/>
    <col min="6916" max="6916" width="9.625" customWidth="1"/>
    <col min="6917" max="6918" width="8" customWidth="1"/>
    <col min="6919" max="6919" width="9.625" customWidth="1"/>
    <col min="6920" max="6920" width="6.875" customWidth="1"/>
    <col min="7166" max="7166" width="9.375" customWidth="1"/>
    <col min="7167" max="7167" width="8" customWidth="1"/>
    <col min="7168" max="7168" width="7.375" customWidth="1"/>
    <col min="7169" max="7171" width="8" customWidth="1"/>
    <col min="7172" max="7172" width="9.625" customWidth="1"/>
    <col min="7173" max="7174" width="8" customWidth="1"/>
    <col min="7175" max="7175" width="9.625" customWidth="1"/>
    <col min="7176" max="7176" width="6.875" customWidth="1"/>
    <col min="7422" max="7422" width="9.375" customWidth="1"/>
    <col min="7423" max="7423" width="8" customWidth="1"/>
    <col min="7424" max="7424" width="7.375" customWidth="1"/>
    <col min="7425" max="7427" width="8" customWidth="1"/>
    <col min="7428" max="7428" width="9.625" customWidth="1"/>
    <col min="7429" max="7430" width="8" customWidth="1"/>
    <col min="7431" max="7431" width="9.625" customWidth="1"/>
    <col min="7432" max="7432" width="6.875" customWidth="1"/>
    <col min="7678" max="7678" width="9.375" customWidth="1"/>
    <col min="7679" max="7679" width="8" customWidth="1"/>
    <col min="7680" max="7680" width="7.375" customWidth="1"/>
    <col min="7681" max="7683" width="8" customWidth="1"/>
    <col min="7684" max="7684" width="9.625" customWidth="1"/>
    <col min="7685" max="7686" width="8" customWidth="1"/>
    <col min="7687" max="7687" width="9.625" customWidth="1"/>
    <col min="7688" max="7688" width="6.875" customWidth="1"/>
    <col min="7934" max="7934" width="9.375" customWidth="1"/>
    <col min="7935" max="7935" width="8" customWidth="1"/>
    <col min="7936" max="7936" width="7.375" customWidth="1"/>
    <col min="7937" max="7939" width="8" customWidth="1"/>
    <col min="7940" max="7940" width="9.625" customWidth="1"/>
    <col min="7941" max="7942" width="8" customWidth="1"/>
    <col min="7943" max="7943" width="9.625" customWidth="1"/>
    <col min="7944" max="7944" width="6.875" customWidth="1"/>
    <col min="8190" max="8190" width="9.375" customWidth="1"/>
    <col min="8191" max="8191" width="8" customWidth="1"/>
    <col min="8192" max="8192" width="7.375" customWidth="1"/>
    <col min="8193" max="8195" width="8" customWidth="1"/>
    <col min="8196" max="8196" width="9.625" customWidth="1"/>
    <col min="8197" max="8198" width="8" customWidth="1"/>
    <col min="8199" max="8199" width="9.625" customWidth="1"/>
    <col min="8200" max="8200" width="6.875" customWidth="1"/>
    <col min="8446" max="8446" width="9.375" customWidth="1"/>
    <col min="8447" max="8447" width="8" customWidth="1"/>
    <col min="8448" max="8448" width="7.375" customWidth="1"/>
    <col min="8449" max="8451" width="8" customWidth="1"/>
    <col min="8452" max="8452" width="9.625" customWidth="1"/>
    <col min="8453" max="8454" width="8" customWidth="1"/>
    <col min="8455" max="8455" width="9.625" customWidth="1"/>
    <col min="8456" max="8456" width="6.875" customWidth="1"/>
    <col min="8702" max="8702" width="9.375" customWidth="1"/>
    <col min="8703" max="8703" width="8" customWidth="1"/>
    <col min="8704" max="8704" width="7.375" customWidth="1"/>
    <col min="8705" max="8707" width="8" customWidth="1"/>
    <col min="8708" max="8708" width="9.625" customWidth="1"/>
    <col min="8709" max="8710" width="8" customWidth="1"/>
    <col min="8711" max="8711" width="9.625" customWidth="1"/>
    <col min="8712" max="8712" width="6.875" customWidth="1"/>
    <col min="8958" max="8958" width="9.375" customWidth="1"/>
    <col min="8959" max="8959" width="8" customWidth="1"/>
    <col min="8960" max="8960" width="7.375" customWidth="1"/>
    <col min="8961" max="8963" width="8" customWidth="1"/>
    <col min="8964" max="8964" width="9.625" customWidth="1"/>
    <col min="8965" max="8966" width="8" customWidth="1"/>
    <col min="8967" max="8967" width="9.625" customWidth="1"/>
    <col min="8968" max="8968" width="6.875" customWidth="1"/>
    <col min="9214" max="9214" width="9.375" customWidth="1"/>
    <col min="9215" max="9215" width="8" customWidth="1"/>
    <col min="9216" max="9216" width="7.375" customWidth="1"/>
    <col min="9217" max="9219" width="8" customWidth="1"/>
    <col min="9220" max="9220" width="9.625" customWidth="1"/>
    <col min="9221" max="9222" width="8" customWidth="1"/>
    <col min="9223" max="9223" width="9.625" customWidth="1"/>
    <col min="9224" max="9224" width="6.875" customWidth="1"/>
    <col min="9470" max="9470" width="9.375" customWidth="1"/>
    <col min="9471" max="9471" width="8" customWidth="1"/>
    <col min="9472" max="9472" width="7.375" customWidth="1"/>
    <col min="9473" max="9475" width="8" customWidth="1"/>
    <col min="9476" max="9476" width="9.625" customWidth="1"/>
    <col min="9477" max="9478" width="8" customWidth="1"/>
    <col min="9479" max="9479" width="9.625" customWidth="1"/>
    <col min="9480" max="9480" width="6.875" customWidth="1"/>
    <col min="9726" max="9726" width="9.375" customWidth="1"/>
    <col min="9727" max="9727" width="8" customWidth="1"/>
    <col min="9728" max="9728" width="7.375" customWidth="1"/>
    <col min="9729" max="9731" width="8" customWidth="1"/>
    <col min="9732" max="9732" width="9.625" customWidth="1"/>
    <col min="9733" max="9734" width="8" customWidth="1"/>
    <col min="9735" max="9735" width="9.625" customWidth="1"/>
    <col min="9736" max="9736" width="6.875" customWidth="1"/>
    <col min="9982" max="9982" width="9.375" customWidth="1"/>
    <col min="9983" max="9983" width="8" customWidth="1"/>
    <col min="9984" max="9984" width="7.375" customWidth="1"/>
    <col min="9985" max="9987" width="8" customWidth="1"/>
    <col min="9988" max="9988" width="9.625" customWidth="1"/>
    <col min="9989" max="9990" width="8" customWidth="1"/>
    <col min="9991" max="9991" width="9.625" customWidth="1"/>
    <col min="9992" max="9992" width="6.875" customWidth="1"/>
    <col min="10238" max="10238" width="9.375" customWidth="1"/>
    <col min="10239" max="10239" width="8" customWidth="1"/>
    <col min="10240" max="10240" width="7.375" customWidth="1"/>
    <col min="10241" max="10243" width="8" customWidth="1"/>
    <col min="10244" max="10244" width="9.625" customWidth="1"/>
    <col min="10245" max="10246" width="8" customWidth="1"/>
    <col min="10247" max="10247" width="9.625" customWidth="1"/>
    <col min="10248" max="10248" width="6.875" customWidth="1"/>
    <col min="10494" max="10494" width="9.375" customWidth="1"/>
    <col min="10495" max="10495" width="8" customWidth="1"/>
    <col min="10496" max="10496" width="7.375" customWidth="1"/>
    <col min="10497" max="10499" width="8" customWidth="1"/>
    <col min="10500" max="10500" width="9.625" customWidth="1"/>
    <col min="10501" max="10502" width="8" customWidth="1"/>
    <col min="10503" max="10503" width="9.625" customWidth="1"/>
    <col min="10504" max="10504" width="6.875" customWidth="1"/>
    <col min="10750" max="10750" width="9.375" customWidth="1"/>
    <col min="10751" max="10751" width="8" customWidth="1"/>
    <col min="10752" max="10752" width="7.375" customWidth="1"/>
    <col min="10753" max="10755" width="8" customWidth="1"/>
    <col min="10756" max="10756" width="9.625" customWidth="1"/>
    <col min="10757" max="10758" width="8" customWidth="1"/>
    <col min="10759" max="10759" width="9.625" customWidth="1"/>
    <col min="10760" max="10760" width="6.875" customWidth="1"/>
    <col min="11006" max="11006" width="9.375" customWidth="1"/>
    <col min="11007" max="11007" width="8" customWidth="1"/>
    <col min="11008" max="11008" width="7.375" customWidth="1"/>
    <col min="11009" max="11011" width="8" customWidth="1"/>
    <col min="11012" max="11012" width="9.625" customWidth="1"/>
    <col min="11013" max="11014" width="8" customWidth="1"/>
    <col min="11015" max="11015" width="9.625" customWidth="1"/>
    <col min="11016" max="11016" width="6.875" customWidth="1"/>
    <col min="11262" max="11262" width="9.375" customWidth="1"/>
    <col min="11263" max="11263" width="8" customWidth="1"/>
    <col min="11264" max="11264" width="7.375" customWidth="1"/>
    <col min="11265" max="11267" width="8" customWidth="1"/>
    <col min="11268" max="11268" width="9.625" customWidth="1"/>
    <col min="11269" max="11270" width="8" customWidth="1"/>
    <col min="11271" max="11271" width="9.625" customWidth="1"/>
    <col min="11272" max="11272" width="6.875" customWidth="1"/>
    <col min="11518" max="11518" width="9.375" customWidth="1"/>
    <col min="11519" max="11519" width="8" customWidth="1"/>
    <col min="11520" max="11520" width="7.375" customWidth="1"/>
    <col min="11521" max="11523" width="8" customWidth="1"/>
    <col min="11524" max="11524" width="9.625" customWidth="1"/>
    <col min="11525" max="11526" width="8" customWidth="1"/>
    <col min="11527" max="11527" width="9.625" customWidth="1"/>
    <col min="11528" max="11528" width="6.875" customWidth="1"/>
    <col min="11774" max="11774" width="9.375" customWidth="1"/>
    <col min="11775" max="11775" width="8" customWidth="1"/>
    <col min="11776" max="11776" width="7.375" customWidth="1"/>
    <col min="11777" max="11779" width="8" customWidth="1"/>
    <col min="11780" max="11780" width="9.625" customWidth="1"/>
    <col min="11781" max="11782" width="8" customWidth="1"/>
    <col min="11783" max="11783" width="9.625" customWidth="1"/>
    <col min="11784" max="11784" width="6.875" customWidth="1"/>
    <col min="12030" max="12030" width="9.375" customWidth="1"/>
    <col min="12031" max="12031" width="8" customWidth="1"/>
    <col min="12032" max="12032" width="7.375" customWidth="1"/>
    <col min="12033" max="12035" width="8" customWidth="1"/>
    <col min="12036" max="12036" width="9.625" customWidth="1"/>
    <col min="12037" max="12038" width="8" customWidth="1"/>
    <col min="12039" max="12039" width="9.625" customWidth="1"/>
    <col min="12040" max="12040" width="6.875" customWidth="1"/>
    <col min="12286" max="12286" width="9.375" customWidth="1"/>
    <col min="12287" max="12287" width="8" customWidth="1"/>
    <col min="12288" max="12288" width="7.375" customWidth="1"/>
    <col min="12289" max="12291" width="8" customWidth="1"/>
    <col min="12292" max="12292" width="9.625" customWidth="1"/>
    <col min="12293" max="12294" width="8" customWidth="1"/>
    <col min="12295" max="12295" width="9.625" customWidth="1"/>
    <col min="12296" max="12296" width="6.875" customWidth="1"/>
    <col min="12542" max="12542" width="9.375" customWidth="1"/>
    <col min="12543" max="12543" width="8" customWidth="1"/>
    <col min="12544" max="12544" width="7.375" customWidth="1"/>
    <col min="12545" max="12547" width="8" customWidth="1"/>
    <col min="12548" max="12548" width="9.625" customWidth="1"/>
    <col min="12549" max="12550" width="8" customWidth="1"/>
    <col min="12551" max="12551" width="9.625" customWidth="1"/>
    <col min="12552" max="12552" width="6.875" customWidth="1"/>
    <col min="12798" max="12798" width="9.375" customWidth="1"/>
    <col min="12799" max="12799" width="8" customWidth="1"/>
    <col min="12800" max="12800" width="7.375" customWidth="1"/>
    <col min="12801" max="12803" width="8" customWidth="1"/>
    <col min="12804" max="12804" width="9.625" customWidth="1"/>
    <col min="12805" max="12806" width="8" customWidth="1"/>
    <col min="12807" max="12807" width="9.625" customWidth="1"/>
    <col min="12808" max="12808" width="6.875" customWidth="1"/>
    <col min="13054" max="13054" width="9.375" customWidth="1"/>
    <col min="13055" max="13055" width="8" customWidth="1"/>
    <col min="13056" max="13056" width="7.375" customWidth="1"/>
    <col min="13057" max="13059" width="8" customWidth="1"/>
    <col min="13060" max="13060" width="9.625" customWidth="1"/>
    <col min="13061" max="13062" width="8" customWidth="1"/>
    <col min="13063" max="13063" width="9.625" customWidth="1"/>
    <col min="13064" max="13064" width="6.875" customWidth="1"/>
    <col min="13310" max="13310" width="9.375" customWidth="1"/>
    <col min="13311" max="13311" width="8" customWidth="1"/>
    <col min="13312" max="13312" width="7.375" customWidth="1"/>
    <col min="13313" max="13315" width="8" customWidth="1"/>
    <col min="13316" max="13316" width="9.625" customWidth="1"/>
    <col min="13317" max="13318" width="8" customWidth="1"/>
    <col min="13319" max="13319" width="9.625" customWidth="1"/>
    <col min="13320" max="13320" width="6.875" customWidth="1"/>
    <col min="13566" max="13566" width="9.375" customWidth="1"/>
    <col min="13567" max="13567" width="8" customWidth="1"/>
    <col min="13568" max="13568" width="7.375" customWidth="1"/>
    <col min="13569" max="13571" width="8" customWidth="1"/>
    <col min="13572" max="13572" width="9.625" customWidth="1"/>
    <col min="13573" max="13574" width="8" customWidth="1"/>
    <col min="13575" max="13575" width="9.625" customWidth="1"/>
    <col min="13576" max="13576" width="6.875" customWidth="1"/>
    <col min="13822" max="13822" width="9.375" customWidth="1"/>
    <col min="13823" max="13823" width="8" customWidth="1"/>
    <col min="13824" max="13824" width="7.375" customWidth="1"/>
    <col min="13825" max="13827" width="8" customWidth="1"/>
    <col min="13828" max="13828" width="9.625" customWidth="1"/>
    <col min="13829" max="13830" width="8" customWidth="1"/>
    <col min="13831" max="13831" width="9.625" customWidth="1"/>
    <col min="13832" max="13832" width="6.875" customWidth="1"/>
    <col min="14078" max="14078" width="9.375" customWidth="1"/>
    <col min="14079" max="14079" width="8" customWidth="1"/>
    <col min="14080" max="14080" width="7.375" customWidth="1"/>
    <col min="14081" max="14083" width="8" customWidth="1"/>
    <col min="14084" max="14084" width="9.625" customWidth="1"/>
    <col min="14085" max="14086" width="8" customWidth="1"/>
    <col min="14087" max="14087" width="9.625" customWidth="1"/>
    <col min="14088" max="14088" width="6.875" customWidth="1"/>
    <col min="14334" max="14334" width="9.375" customWidth="1"/>
    <col min="14335" max="14335" width="8" customWidth="1"/>
    <col min="14336" max="14336" width="7.375" customWidth="1"/>
    <col min="14337" max="14339" width="8" customWidth="1"/>
    <col min="14340" max="14340" width="9.625" customWidth="1"/>
    <col min="14341" max="14342" width="8" customWidth="1"/>
    <col min="14343" max="14343" width="9.625" customWidth="1"/>
    <col min="14344" max="14344" width="6.875" customWidth="1"/>
    <col min="14590" max="14590" width="9.375" customWidth="1"/>
    <col min="14591" max="14591" width="8" customWidth="1"/>
    <col min="14592" max="14592" width="7.375" customWidth="1"/>
    <col min="14593" max="14595" width="8" customWidth="1"/>
    <col min="14596" max="14596" width="9.625" customWidth="1"/>
    <col min="14597" max="14598" width="8" customWidth="1"/>
    <col min="14599" max="14599" width="9.625" customWidth="1"/>
    <col min="14600" max="14600" width="6.875" customWidth="1"/>
    <col min="14846" max="14846" width="9.375" customWidth="1"/>
    <col min="14847" max="14847" width="8" customWidth="1"/>
    <col min="14848" max="14848" width="7.375" customWidth="1"/>
    <col min="14849" max="14851" width="8" customWidth="1"/>
    <col min="14852" max="14852" width="9.625" customWidth="1"/>
    <col min="14853" max="14854" width="8" customWidth="1"/>
    <col min="14855" max="14855" width="9.625" customWidth="1"/>
    <col min="14856" max="14856" width="6.875" customWidth="1"/>
    <col min="15102" max="15102" width="9.375" customWidth="1"/>
    <col min="15103" max="15103" width="8" customWidth="1"/>
    <col min="15104" max="15104" width="7.375" customWidth="1"/>
    <col min="15105" max="15107" width="8" customWidth="1"/>
    <col min="15108" max="15108" width="9.625" customWidth="1"/>
    <col min="15109" max="15110" width="8" customWidth="1"/>
    <col min="15111" max="15111" width="9.625" customWidth="1"/>
    <col min="15112" max="15112" width="6.875" customWidth="1"/>
    <col min="15358" max="15358" width="9.375" customWidth="1"/>
    <col min="15359" max="15359" width="8" customWidth="1"/>
    <col min="15360" max="15360" width="7.375" customWidth="1"/>
    <col min="15361" max="15363" width="8" customWidth="1"/>
    <col min="15364" max="15364" width="9.625" customWidth="1"/>
    <col min="15365" max="15366" width="8" customWidth="1"/>
    <col min="15367" max="15367" width="9.625" customWidth="1"/>
    <col min="15368" max="15368" width="6.875" customWidth="1"/>
    <col min="15614" max="15614" width="9.375" customWidth="1"/>
    <col min="15615" max="15615" width="8" customWidth="1"/>
    <col min="15616" max="15616" width="7.375" customWidth="1"/>
    <col min="15617" max="15619" width="8" customWidth="1"/>
    <col min="15620" max="15620" width="9.625" customWidth="1"/>
    <col min="15621" max="15622" width="8" customWidth="1"/>
    <col min="15623" max="15623" width="9.625" customWidth="1"/>
    <col min="15624" max="15624" width="6.875" customWidth="1"/>
    <col min="15870" max="15870" width="9.375" customWidth="1"/>
    <col min="15871" max="15871" width="8" customWidth="1"/>
    <col min="15872" max="15872" width="7.375" customWidth="1"/>
    <col min="15873" max="15875" width="8" customWidth="1"/>
    <col min="15876" max="15876" width="9.625" customWidth="1"/>
    <col min="15877" max="15878" width="8" customWidth="1"/>
    <col min="15879" max="15879" width="9.625" customWidth="1"/>
    <col min="15880" max="15880" width="6.875" customWidth="1"/>
    <col min="16126" max="16126" width="9.375" customWidth="1"/>
    <col min="16127" max="16127" width="8" customWidth="1"/>
    <col min="16128" max="16128" width="7.375" customWidth="1"/>
    <col min="16129" max="16131" width="8" customWidth="1"/>
    <col min="16132" max="16132" width="9.625" customWidth="1"/>
    <col min="16133" max="16134" width="8" customWidth="1"/>
    <col min="16135" max="16135" width="9.625" customWidth="1"/>
    <col min="16136" max="16136" width="6.875" customWidth="1"/>
  </cols>
  <sheetData>
    <row r="1" ht="40.15" customHeight="1" spans="1:12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>
      <c r="A2" s="78" t="s">
        <v>0</v>
      </c>
      <c r="B2" s="79" t="s">
        <v>1</v>
      </c>
      <c r="C2" s="80"/>
      <c r="D2" s="80"/>
      <c r="E2" s="81"/>
      <c r="F2" s="79" t="s">
        <v>2</v>
      </c>
      <c r="G2" s="80"/>
      <c r="H2" s="81"/>
      <c r="I2" s="81" t="s">
        <v>3</v>
      </c>
      <c r="J2" s="82" t="s">
        <v>4</v>
      </c>
      <c r="K2" s="82" t="s">
        <v>5</v>
      </c>
      <c r="L2" s="82" t="s">
        <v>6</v>
      </c>
    </row>
    <row r="3" spans="1:12">
      <c r="A3" s="83"/>
      <c r="B3" s="84" t="s">
        <v>7</v>
      </c>
      <c r="C3" s="84" t="s">
        <v>8</v>
      </c>
      <c r="D3" s="84" t="s">
        <v>9</v>
      </c>
      <c r="E3" s="85" t="s">
        <v>10</v>
      </c>
      <c r="F3" s="84" t="s">
        <v>11</v>
      </c>
      <c r="G3" s="84" t="s">
        <v>12</v>
      </c>
      <c r="H3" s="85" t="s">
        <v>13</v>
      </c>
      <c r="I3" s="85"/>
      <c r="J3" s="85" t="s">
        <v>14</v>
      </c>
      <c r="K3" s="86">
        <v>0.44</v>
      </c>
      <c r="L3" s="86">
        <v>0.56</v>
      </c>
    </row>
    <row r="4" spans="1:12">
      <c r="A4" s="87" t="s">
        <v>15</v>
      </c>
      <c r="B4" s="88">
        <v>44</v>
      </c>
      <c r="C4" s="88">
        <v>10</v>
      </c>
      <c r="D4" s="88">
        <v>38</v>
      </c>
      <c r="E4" s="88">
        <f t="shared" ref="E4:E9" si="0">SUM(B4:D4)</f>
        <v>92</v>
      </c>
      <c r="F4" s="88">
        <v>85</v>
      </c>
      <c r="G4" s="88">
        <v>46</v>
      </c>
      <c r="H4" s="89">
        <f t="shared" ref="H4" si="1">F4*0.2+G4*0.8</f>
        <v>53.8</v>
      </c>
      <c r="I4" s="89">
        <f>ROUND(E4*0.6+H4*0.4,0)</f>
        <v>77</v>
      </c>
      <c r="J4" s="89">
        <f>ROUND(K4*0.44+L4*0.56,0)</f>
        <v>77</v>
      </c>
      <c r="K4" s="89">
        <f>ROUND(B4/50*100*30/44+C4/10*100*6/44+F4*8/44,2)</f>
        <v>89.09</v>
      </c>
      <c r="L4" s="89">
        <f>ROUND(D4/40*100*24/56+G4*32/56,2)</f>
        <v>67</v>
      </c>
    </row>
    <row r="5" spans="1:12">
      <c r="A5" s="87" t="s">
        <v>15</v>
      </c>
      <c r="B5" s="90">
        <v>50</v>
      </c>
      <c r="C5" s="90">
        <v>10</v>
      </c>
      <c r="D5" s="90">
        <v>40</v>
      </c>
      <c r="E5" s="88">
        <f t="shared" si="0"/>
        <v>100</v>
      </c>
      <c r="F5" s="90">
        <v>100</v>
      </c>
      <c r="G5" s="88">
        <v>100</v>
      </c>
      <c r="H5" s="89">
        <f t="shared" ref="H5:H7" si="2">F5*0.2+G5*0.8</f>
        <v>100</v>
      </c>
      <c r="I5" s="89">
        <f t="shared" ref="I5" si="3">ROUND(E5*0.6+H5*0.4,0)</f>
        <v>100</v>
      </c>
      <c r="J5" s="89">
        <f t="shared" ref="J5" si="4">ROUND(K5*0.44+L5*0.56,0)</f>
        <v>100</v>
      </c>
      <c r="K5" s="89">
        <f t="shared" ref="K5" si="5">ROUND(B5/50*100*30/44+C5/10*100*6/44+F5*8/44,2)</f>
        <v>100</v>
      </c>
      <c r="L5" s="89">
        <f t="shared" ref="L5" si="6">ROUND(D5/40*100*24/56+G5*32/56,2)</f>
        <v>100</v>
      </c>
    </row>
    <row r="6" spans="1:12">
      <c r="A6" s="87" t="s">
        <v>15</v>
      </c>
      <c r="B6" s="91">
        <v>30</v>
      </c>
      <c r="C6" s="91">
        <v>6</v>
      </c>
      <c r="D6" s="91">
        <v>24</v>
      </c>
      <c r="E6" s="88">
        <f t="shared" si="0"/>
        <v>60</v>
      </c>
      <c r="F6" s="90">
        <v>83</v>
      </c>
      <c r="G6" s="88">
        <v>56</v>
      </c>
      <c r="H6" s="89">
        <f t="shared" si="2"/>
        <v>61.4</v>
      </c>
      <c r="I6" s="89">
        <f t="shared" ref="I6:I9" si="7">ROUND(E6*0.6+H6*0.4,0)</f>
        <v>61</v>
      </c>
      <c r="J6" s="89">
        <f t="shared" ref="J6:J9" si="8">ROUND(K6*0.44+L6*0.56,0)</f>
        <v>61</v>
      </c>
      <c r="K6" s="89">
        <f t="shared" ref="K6:K9" si="9">ROUND(B6/50*100*30/44+C6/10*100*6/44+F6*8/44,2)</f>
        <v>64.18</v>
      </c>
      <c r="L6" s="89">
        <f t="shared" ref="L6:L9" si="10">ROUND(D6/40*100*24/56+G6*32/56,2)</f>
        <v>57.71</v>
      </c>
    </row>
    <row r="7" spans="1:12">
      <c r="E7" s="88">
        <f t="shared" si="0"/>
        <v>0</v>
      </c>
      <c r="H7" s="89">
        <f t="shared" si="2"/>
        <v>0</v>
      </c>
      <c r="I7" s="89">
        <f t="shared" si="7"/>
        <v>0</v>
      </c>
      <c r="J7" s="89">
        <f t="shared" si="8"/>
        <v>0</v>
      </c>
      <c r="K7" s="89">
        <f t="shared" si="9"/>
        <v>0</v>
      </c>
      <c r="L7" s="89">
        <f t="shared" si="10"/>
        <v>0</v>
      </c>
    </row>
    <row r="8" spans="1:12">
      <c r="A8" s="92">
        <v>1</v>
      </c>
      <c r="B8" s="93">
        <v>49</v>
      </c>
      <c r="C8" s="93">
        <v>10</v>
      </c>
      <c r="D8" s="93">
        <v>39</v>
      </c>
      <c r="E8" s="88">
        <f t="shared" si="0"/>
        <v>98</v>
      </c>
      <c r="F8" s="90">
        <v>70</v>
      </c>
      <c r="G8" s="94">
        <v>56</v>
      </c>
      <c r="H8" s="89">
        <f t="shared" ref="H8:H13" si="11">F8*0.2+G8*0.8</f>
        <v>58.8</v>
      </c>
      <c r="I8" s="89">
        <f t="shared" si="7"/>
        <v>82</v>
      </c>
      <c r="J8" s="89">
        <f t="shared" si="8"/>
        <v>82</v>
      </c>
      <c r="K8" s="89">
        <f t="shared" si="9"/>
        <v>93.18</v>
      </c>
      <c r="L8" s="89">
        <f t="shared" si="10"/>
        <v>73.79</v>
      </c>
    </row>
    <row r="9" spans="1:12">
      <c r="A9" s="92">
        <v>2</v>
      </c>
      <c r="B9" s="93">
        <v>49</v>
      </c>
      <c r="C9" s="93">
        <v>9</v>
      </c>
      <c r="D9" s="93">
        <v>38</v>
      </c>
      <c r="E9" s="88">
        <f t="shared" si="0"/>
        <v>96</v>
      </c>
      <c r="F9" s="90">
        <v>80</v>
      </c>
      <c r="G9" s="88">
        <v>74</v>
      </c>
      <c r="H9" s="89">
        <f t="shared" si="11"/>
        <v>75.2</v>
      </c>
      <c r="I9" s="89">
        <f t="shared" si="7"/>
        <v>88</v>
      </c>
      <c r="J9" s="89">
        <f t="shared" si="8"/>
        <v>88</v>
      </c>
      <c r="K9" s="89">
        <f t="shared" si="9"/>
        <v>93.64</v>
      </c>
      <c r="L9" s="89">
        <f t="shared" si="10"/>
        <v>83</v>
      </c>
    </row>
    <row r="10" spans="1:12">
      <c r="A10" s="92">
        <v>3</v>
      </c>
      <c r="B10" s="93">
        <v>36</v>
      </c>
      <c r="C10" s="93">
        <v>10</v>
      </c>
      <c r="D10" s="93">
        <v>38</v>
      </c>
      <c r="E10" s="88">
        <f t="shared" ref="E10:E36" si="12">SUM(B10:D10)</f>
        <v>84</v>
      </c>
      <c r="F10" s="90">
        <v>60</v>
      </c>
      <c r="G10" s="94">
        <v>70</v>
      </c>
      <c r="H10" s="89">
        <f t="shared" si="11"/>
        <v>68</v>
      </c>
      <c r="I10" s="89">
        <f t="shared" ref="I10:I36" si="13">ROUND(E10*0.6+H10*0.4,0)</f>
        <v>78</v>
      </c>
      <c r="J10" s="89">
        <f t="shared" ref="J10:J36" si="14">ROUND(K10*0.44+L10*0.56,0)</f>
        <v>78</v>
      </c>
      <c r="K10" s="89">
        <f t="shared" ref="K10:K36" si="15">ROUND(B10/50*100*30/44+C10/10*100*6/44+F10*8/44,2)</f>
        <v>73.64</v>
      </c>
      <c r="L10" s="89">
        <f t="shared" ref="L10:L36" si="16">ROUND(D10/40*100*24/56+G10*32/56,2)</f>
        <v>80.71</v>
      </c>
    </row>
    <row r="11" spans="1:12">
      <c r="A11" s="92">
        <v>4</v>
      </c>
      <c r="B11" s="93">
        <v>41</v>
      </c>
      <c r="C11" s="93">
        <v>10</v>
      </c>
      <c r="D11" s="93">
        <v>40</v>
      </c>
      <c r="E11" s="88">
        <f t="shared" si="12"/>
        <v>91</v>
      </c>
      <c r="F11" s="90">
        <v>90</v>
      </c>
      <c r="G11" s="94">
        <v>78</v>
      </c>
      <c r="H11" s="89">
        <f t="shared" si="11"/>
        <v>80.4</v>
      </c>
      <c r="I11" s="89">
        <f t="shared" si="13"/>
        <v>87</v>
      </c>
      <c r="J11" s="89">
        <f t="shared" si="14"/>
        <v>87</v>
      </c>
      <c r="K11" s="89">
        <f t="shared" si="15"/>
        <v>85.91</v>
      </c>
      <c r="L11" s="89">
        <f t="shared" si="16"/>
        <v>87.43</v>
      </c>
    </row>
    <row r="12" spans="1:12">
      <c r="A12" s="92">
        <v>5</v>
      </c>
      <c r="B12" s="93">
        <v>41</v>
      </c>
      <c r="C12" s="93">
        <v>10</v>
      </c>
      <c r="D12" s="93">
        <v>38</v>
      </c>
      <c r="E12" s="88">
        <f t="shared" si="12"/>
        <v>89</v>
      </c>
      <c r="F12" s="90">
        <v>60</v>
      </c>
      <c r="G12" s="94">
        <v>56</v>
      </c>
      <c r="H12" s="89">
        <f t="shared" si="11"/>
        <v>56.8</v>
      </c>
      <c r="I12" s="89">
        <f t="shared" si="13"/>
        <v>76</v>
      </c>
      <c r="J12" s="89">
        <f t="shared" si="14"/>
        <v>76</v>
      </c>
      <c r="K12" s="89">
        <f t="shared" si="15"/>
        <v>80.45</v>
      </c>
      <c r="L12" s="89">
        <f t="shared" si="16"/>
        <v>72.71</v>
      </c>
    </row>
    <row r="13" spans="1:12">
      <c r="A13" s="92">
        <v>6</v>
      </c>
      <c r="B13" s="93">
        <v>49</v>
      </c>
      <c r="C13" s="93">
        <v>10</v>
      </c>
      <c r="D13" s="93">
        <v>40</v>
      </c>
      <c r="E13" s="88">
        <f t="shared" si="12"/>
        <v>99</v>
      </c>
      <c r="F13" s="90">
        <v>90</v>
      </c>
      <c r="G13" s="94">
        <v>72</v>
      </c>
      <c r="H13" s="89">
        <f t="shared" si="11"/>
        <v>75.6</v>
      </c>
      <c r="I13" s="89">
        <f t="shared" si="13"/>
        <v>90</v>
      </c>
      <c r="J13" s="89">
        <f t="shared" si="14"/>
        <v>90</v>
      </c>
      <c r="K13" s="89">
        <f t="shared" si="15"/>
        <v>96.82</v>
      </c>
      <c r="L13" s="89">
        <f t="shared" si="16"/>
        <v>84</v>
      </c>
    </row>
    <row r="14" spans="1:12">
      <c r="A14" s="92">
        <v>7</v>
      </c>
      <c r="B14" s="93">
        <v>41</v>
      </c>
      <c r="C14" s="93">
        <v>10</v>
      </c>
      <c r="D14" s="93">
        <v>39</v>
      </c>
      <c r="E14" s="88">
        <f t="shared" si="12"/>
        <v>90</v>
      </c>
      <c r="F14" s="90">
        <v>60</v>
      </c>
      <c r="G14" s="94">
        <v>56</v>
      </c>
      <c r="H14" s="89">
        <f t="shared" ref="H14:H36" si="17">F14*0.2+G14*0.8</f>
        <v>56.8</v>
      </c>
      <c r="I14" s="89">
        <f t="shared" si="13"/>
        <v>77</v>
      </c>
      <c r="J14" s="89">
        <f t="shared" si="14"/>
        <v>77</v>
      </c>
      <c r="K14" s="89">
        <f t="shared" si="15"/>
        <v>80.45</v>
      </c>
      <c r="L14" s="89">
        <f t="shared" si="16"/>
        <v>73.79</v>
      </c>
    </row>
    <row r="15" spans="1:12">
      <c r="A15" s="92">
        <v>8</v>
      </c>
      <c r="B15" s="93">
        <v>41</v>
      </c>
      <c r="C15" s="93">
        <v>10</v>
      </c>
      <c r="D15" s="93">
        <v>38</v>
      </c>
      <c r="E15" s="88">
        <f t="shared" si="12"/>
        <v>89</v>
      </c>
      <c r="F15" s="90">
        <v>70</v>
      </c>
      <c r="G15" s="94">
        <v>52</v>
      </c>
      <c r="H15" s="89">
        <f t="shared" si="17"/>
        <v>55.6</v>
      </c>
      <c r="I15" s="89">
        <f t="shared" si="13"/>
        <v>76</v>
      </c>
      <c r="J15" s="89">
        <f t="shared" si="14"/>
        <v>76</v>
      </c>
      <c r="K15" s="89">
        <f t="shared" si="15"/>
        <v>82.27</v>
      </c>
      <c r="L15" s="89">
        <f t="shared" si="16"/>
        <v>70.43</v>
      </c>
    </row>
    <row r="16" spans="1:12">
      <c r="A16" s="92">
        <v>9</v>
      </c>
      <c r="B16" s="93">
        <v>39</v>
      </c>
      <c r="C16" s="93">
        <v>10</v>
      </c>
      <c r="D16" s="93">
        <v>40</v>
      </c>
      <c r="E16" s="88">
        <f t="shared" si="12"/>
        <v>89</v>
      </c>
      <c r="F16" s="90">
        <v>60</v>
      </c>
      <c r="G16" s="94">
        <v>72</v>
      </c>
      <c r="H16" s="89">
        <f t="shared" si="17"/>
        <v>69.6</v>
      </c>
      <c r="I16" s="89">
        <f t="shared" si="13"/>
        <v>81</v>
      </c>
      <c r="J16" s="89">
        <f t="shared" si="14"/>
        <v>81</v>
      </c>
      <c r="K16" s="89">
        <f t="shared" si="15"/>
        <v>77.73</v>
      </c>
      <c r="L16" s="89">
        <f t="shared" si="16"/>
        <v>84</v>
      </c>
    </row>
    <row r="17" spans="1:12">
      <c r="A17" s="92">
        <v>10</v>
      </c>
      <c r="B17" s="93">
        <v>46</v>
      </c>
      <c r="C17" s="93">
        <v>8</v>
      </c>
      <c r="D17" s="93">
        <v>37</v>
      </c>
      <c r="E17" s="88">
        <f t="shared" si="12"/>
        <v>91</v>
      </c>
      <c r="F17" s="90">
        <v>60</v>
      </c>
      <c r="G17" s="94">
        <v>48</v>
      </c>
      <c r="H17" s="89">
        <f t="shared" si="17"/>
        <v>50.4</v>
      </c>
      <c r="I17" s="89">
        <f t="shared" si="13"/>
        <v>75</v>
      </c>
      <c r="J17" s="89">
        <f t="shared" si="14"/>
        <v>75</v>
      </c>
      <c r="K17" s="89">
        <f t="shared" si="15"/>
        <v>84.55</v>
      </c>
      <c r="L17" s="89">
        <f t="shared" si="16"/>
        <v>67.07</v>
      </c>
    </row>
    <row r="18" spans="1:12">
      <c r="A18" s="92">
        <v>11</v>
      </c>
      <c r="B18" s="93">
        <v>49</v>
      </c>
      <c r="C18" s="93">
        <v>10</v>
      </c>
      <c r="D18" s="93">
        <v>40</v>
      </c>
      <c r="E18" s="88">
        <f t="shared" si="12"/>
        <v>99</v>
      </c>
      <c r="F18" s="90">
        <v>90</v>
      </c>
      <c r="G18" s="94">
        <v>80</v>
      </c>
      <c r="H18" s="89">
        <f t="shared" si="17"/>
        <v>82</v>
      </c>
      <c r="I18" s="89">
        <f t="shared" si="13"/>
        <v>92</v>
      </c>
      <c r="J18" s="89">
        <f t="shared" si="14"/>
        <v>92</v>
      </c>
      <c r="K18" s="89">
        <f t="shared" si="15"/>
        <v>96.82</v>
      </c>
      <c r="L18" s="89">
        <f t="shared" si="16"/>
        <v>88.57</v>
      </c>
    </row>
    <row r="19" spans="1:12">
      <c r="A19" s="92">
        <v>12</v>
      </c>
      <c r="B19" s="93">
        <v>49</v>
      </c>
      <c r="C19" s="93">
        <v>10</v>
      </c>
      <c r="D19" s="93">
        <v>40</v>
      </c>
      <c r="E19" s="88">
        <f t="shared" si="12"/>
        <v>99</v>
      </c>
      <c r="F19" s="90">
        <v>0</v>
      </c>
      <c r="G19" s="94">
        <v>84</v>
      </c>
      <c r="H19" s="89">
        <f t="shared" si="17"/>
        <v>67.2</v>
      </c>
      <c r="I19" s="89">
        <f t="shared" si="13"/>
        <v>86</v>
      </c>
      <c r="J19" s="89">
        <f t="shared" si="14"/>
        <v>86</v>
      </c>
      <c r="K19" s="89">
        <f t="shared" si="15"/>
        <v>80.45</v>
      </c>
      <c r="L19" s="89">
        <f t="shared" si="16"/>
        <v>90.86</v>
      </c>
    </row>
    <row r="20" spans="1:12">
      <c r="A20" s="92">
        <v>13</v>
      </c>
      <c r="B20" s="93">
        <v>49</v>
      </c>
      <c r="C20" s="93">
        <v>10</v>
      </c>
      <c r="D20" s="93">
        <v>40</v>
      </c>
      <c r="E20" s="88">
        <f t="shared" si="12"/>
        <v>99</v>
      </c>
      <c r="F20" s="90">
        <v>70</v>
      </c>
      <c r="G20" s="94">
        <v>78</v>
      </c>
      <c r="H20" s="89">
        <f t="shared" si="17"/>
        <v>76.4</v>
      </c>
      <c r="I20" s="89">
        <f t="shared" si="13"/>
        <v>90</v>
      </c>
      <c r="J20" s="89">
        <f t="shared" si="14"/>
        <v>90</v>
      </c>
      <c r="K20" s="89">
        <f t="shared" si="15"/>
        <v>93.18</v>
      </c>
      <c r="L20" s="89">
        <f t="shared" si="16"/>
        <v>87.43</v>
      </c>
    </row>
    <row r="21" spans="1:12">
      <c r="A21" s="92">
        <v>14</v>
      </c>
      <c r="B21" s="90">
        <v>44</v>
      </c>
      <c r="C21" s="90">
        <v>10</v>
      </c>
      <c r="D21" s="90">
        <v>38</v>
      </c>
      <c r="E21" s="88">
        <f t="shared" si="12"/>
        <v>92</v>
      </c>
      <c r="F21" s="90">
        <v>90</v>
      </c>
      <c r="G21" s="88">
        <v>92</v>
      </c>
      <c r="H21" s="89">
        <f t="shared" si="17"/>
        <v>91.6</v>
      </c>
      <c r="I21" s="89">
        <f t="shared" si="13"/>
        <v>92</v>
      </c>
      <c r="J21" s="89">
        <f t="shared" si="14"/>
        <v>92</v>
      </c>
      <c r="K21" s="89">
        <f t="shared" si="15"/>
        <v>90</v>
      </c>
      <c r="L21" s="89">
        <f t="shared" si="16"/>
        <v>93.29</v>
      </c>
    </row>
    <row r="22" spans="1:12">
      <c r="A22" s="92">
        <v>15</v>
      </c>
      <c r="B22" s="90">
        <v>49</v>
      </c>
      <c r="C22" s="90">
        <v>10</v>
      </c>
      <c r="D22" s="90">
        <v>40</v>
      </c>
      <c r="E22" s="88">
        <f t="shared" si="12"/>
        <v>99</v>
      </c>
      <c r="F22" s="90">
        <v>80</v>
      </c>
      <c r="G22" s="88">
        <v>76</v>
      </c>
      <c r="H22" s="89">
        <f t="shared" si="17"/>
        <v>76.8</v>
      </c>
      <c r="I22" s="89">
        <f t="shared" si="13"/>
        <v>90</v>
      </c>
      <c r="J22" s="89">
        <f t="shared" si="14"/>
        <v>90</v>
      </c>
      <c r="K22" s="89">
        <f t="shared" si="15"/>
        <v>95</v>
      </c>
      <c r="L22" s="89">
        <f t="shared" si="16"/>
        <v>86.29</v>
      </c>
    </row>
    <row r="23" spans="1:12">
      <c r="A23" s="92">
        <v>16</v>
      </c>
      <c r="B23" s="90">
        <v>45</v>
      </c>
      <c r="C23" s="90">
        <v>10</v>
      </c>
      <c r="D23" s="90">
        <v>39</v>
      </c>
      <c r="E23" s="88">
        <f t="shared" si="12"/>
        <v>94</v>
      </c>
      <c r="F23" s="90">
        <v>90</v>
      </c>
      <c r="G23" s="88">
        <v>76</v>
      </c>
      <c r="H23" s="89">
        <f t="shared" si="17"/>
        <v>78.8</v>
      </c>
      <c r="I23" s="89">
        <f t="shared" si="13"/>
        <v>88</v>
      </c>
      <c r="J23" s="89">
        <f t="shared" si="14"/>
        <v>88</v>
      </c>
      <c r="K23" s="89">
        <f t="shared" si="15"/>
        <v>91.36</v>
      </c>
      <c r="L23" s="89">
        <f t="shared" si="16"/>
        <v>85.21</v>
      </c>
    </row>
    <row r="24" spans="1:12">
      <c r="A24" s="92">
        <v>17</v>
      </c>
      <c r="B24" s="90">
        <v>44</v>
      </c>
      <c r="C24" s="90">
        <v>9</v>
      </c>
      <c r="D24" s="90">
        <v>38</v>
      </c>
      <c r="E24" s="88">
        <f t="shared" si="12"/>
        <v>91</v>
      </c>
      <c r="F24" s="90">
        <v>90</v>
      </c>
      <c r="G24" s="88">
        <v>60</v>
      </c>
      <c r="H24" s="89">
        <f t="shared" si="17"/>
        <v>66</v>
      </c>
      <c r="I24" s="89">
        <f t="shared" si="13"/>
        <v>81</v>
      </c>
      <c r="J24" s="89">
        <f t="shared" si="14"/>
        <v>81</v>
      </c>
      <c r="K24" s="89">
        <f t="shared" si="15"/>
        <v>88.64</v>
      </c>
      <c r="L24" s="89">
        <f t="shared" si="16"/>
        <v>75</v>
      </c>
    </row>
    <row r="25" spans="1:12">
      <c r="A25" s="92">
        <v>18</v>
      </c>
      <c r="B25" s="90">
        <v>49</v>
      </c>
      <c r="C25" s="90">
        <v>10</v>
      </c>
      <c r="D25" s="90">
        <v>40</v>
      </c>
      <c r="E25" s="88">
        <f t="shared" si="12"/>
        <v>99</v>
      </c>
      <c r="F25" s="90">
        <v>90</v>
      </c>
      <c r="G25" s="88">
        <v>92</v>
      </c>
      <c r="H25" s="89">
        <f t="shared" si="17"/>
        <v>91.6</v>
      </c>
      <c r="I25" s="89">
        <f t="shared" si="13"/>
        <v>96</v>
      </c>
      <c r="J25" s="89">
        <f t="shared" si="14"/>
        <v>96</v>
      </c>
      <c r="K25" s="89">
        <f t="shared" si="15"/>
        <v>96.82</v>
      </c>
      <c r="L25" s="89">
        <f t="shared" si="16"/>
        <v>95.43</v>
      </c>
    </row>
    <row r="26" spans="1:12">
      <c r="A26" s="92">
        <v>19</v>
      </c>
      <c r="B26" s="90">
        <v>49</v>
      </c>
      <c r="C26" s="90">
        <v>10</v>
      </c>
      <c r="D26" s="90">
        <v>40</v>
      </c>
      <c r="E26" s="88">
        <f t="shared" si="12"/>
        <v>99</v>
      </c>
      <c r="F26" s="90">
        <v>90</v>
      </c>
      <c r="G26" s="88">
        <v>84</v>
      </c>
      <c r="H26" s="89">
        <f t="shared" si="17"/>
        <v>85.2</v>
      </c>
      <c r="I26" s="89">
        <f t="shared" si="13"/>
        <v>93</v>
      </c>
      <c r="J26" s="89">
        <f t="shared" si="14"/>
        <v>93</v>
      </c>
      <c r="K26" s="89">
        <f t="shared" si="15"/>
        <v>96.82</v>
      </c>
      <c r="L26" s="89">
        <f t="shared" si="16"/>
        <v>90.86</v>
      </c>
    </row>
    <row r="27" spans="1:12">
      <c r="A27" s="92">
        <v>20</v>
      </c>
      <c r="B27" s="90">
        <v>49</v>
      </c>
      <c r="C27" s="90">
        <v>10</v>
      </c>
      <c r="D27" s="90">
        <v>40</v>
      </c>
      <c r="E27" s="88">
        <f t="shared" si="12"/>
        <v>99</v>
      </c>
      <c r="F27" s="90">
        <v>90</v>
      </c>
      <c r="G27" s="88">
        <v>78</v>
      </c>
      <c r="H27" s="89">
        <f t="shared" si="17"/>
        <v>80.4</v>
      </c>
      <c r="I27" s="89">
        <f t="shared" si="13"/>
        <v>92</v>
      </c>
      <c r="J27" s="89">
        <f t="shared" si="14"/>
        <v>92</v>
      </c>
      <c r="K27" s="89">
        <f t="shared" si="15"/>
        <v>96.82</v>
      </c>
      <c r="L27" s="89">
        <f t="shared" si="16"/>
        <v>87.43</v>
      </c>
    </row>
    <row r="28" spans="1:12">
      <c r="A28" s="92">
        <v>21</v>
      </c>
      <c r="B28" s="90">
        <v>49</v>
      </c>
      <c r="C28" s="90">
        <v>10</v>
      </c>
      <c r="D28" s="90">
        <v>40</v>
      </c>
      <c r="E28" s="88">
        <f t="shared" si="12"/>
        <v>99</v>
      </c>
      <c r="F28" s="90">
        <v>90</v>
      </c>
      <c r="G28" s="88">
        <v>62</v>
      </c>
      <c r="H28" s="89">
        <f t="shared" si="17"/>
        <v>67.6</v>
      </c>
      <c r="I28" s="89">
        <f t="shared" si="13"/>
        <v>86</v>
      </c>
      <c r="J28" s="89">
        <f t="shared" si="14"/>
        <v>86</v>
      </c>
      <c r="K28" s="89">
        <f t="shared" si="15"/>
        <v>96.82</v>
      </c>
      <c r="L28" s="89">
        <f t="shared" si="16"/>
        <v>78.29</v>
      </c>
    </row>
    <row r="29" spans="1:12">
      <c r="A29" s="92">
        <v>22</v>
      </c>
      <c r="B29" s="90">
        <v>48</v>
      </c>
      <c r="C29" s="90">
        <v>10</v>
      </c>
      <c r="D29" s="90">
        <v>40</v>
      </c>
      <c r="E29" s="88">
        <f t="shared" si="12"/>
        <v>98</v>
      </c>
      <c r="F29" s="90">
        <v>90</v>
      </c>
      <c r="G29" s="88">
        <v>74</v>
      </c>
      <c r="H29" s="89">
        <f t="shared" si="17"/>
        <v>77.2</v>
      </c>
      <c r="I29" s="89">
        <f t="shared" si="13"/>
        <v>90</v>
      </c>
      <c r="J29" s="89">
        <f t="shared" si="14"/>
        <v>90</v>
      </c>
      <c r="K29" s="89">
        <f t="shared" si="15"/>
        <v>95.45</v>
      </c>
      <c r="L29" s="89">
        <f t="shared" si="16"/>
        <v>85.14</v>
      </c>
    </row>
    <row r="30" spans="1:12">
      <c r="A30" s="92">
        <v>23</v>
      </c>
      <c r="B30" s="90">
        <v>49</v>
      </c>
      <c r="C30" s="90">
        <v>10</v>
      </c>
      <c r="D30" s="90">
        <v>40</v>
      </c>
      <c r="E30" s="88">
        <f t="shared" si="12"/>
        <v>99</v>
      </c>
      <c r="F30" s="90">
        <v>70</v>
      </c>
      <c r="G30" s="88">
        <v>80</v>
      </c>
      <c r="H30" s="89">
        <f t="shared" si="17"/>
        <v>78</v>
      </c>
      <c r="I30" s="89">
        <f t="shared" si="13"/>
        <v>91</v>
      </c>
      <c r="J30" s="89">
        <f t="shared" si="14"/>
        <v>91</v>
      </c>
      <c r="K30" s="89">
        <f t="shared" si="15"/>
        <v>93.18</v>
      </c>
      <c r="L30" s="89">
        <f t="shared" si="16"/>
        <v>88.57</v>
      </c>
    </row>
    <row r="31" spans="1:12">
      <c r="A31" s="92">
        <v>24</v>
      </c>
      <c r="B31" s="90">
        <v>49</v>
      </c>
      <c r="C31" s="90">
        <v>10</v>
      </c>
      <c r="D31" s="90">
        <v>40</v>
      </c>
      <c r="E31" s="88">
        <f t="shared" si="12"/>
        <v>99</v>
      </c>
      <c r="F31" s="90">
        <v>90</v>
      </c>
      <c r="G31" s="88">
        <v>84</v>
      </c>
      <c r="H31" s="89">
        <f t="shared" si="17"/>
        <v>85.2</v>
      </c>
      <c r="I31" s="89">
        <f t="shared" si="13"/>
        <v>93</v>
      </c>
      <c r="J31" s="89">
        <f t="shared" si="14"/>
        <v>93</v>
      </c>
      <c r="K31" s="89">
        <f t="shared" si="15"/>
        <v>96.82</v>
      </c>
      <c r="L31" s="89">
        <f t="shared" si="16"/>
        <v>90.86</v>
      </c>
    </row>
    <row r="32" spans="1:12">
      <c r="A32" s="92">
        <v>25</v>
      </c>
      <c r="B32" s="90">
        <v>49</v>
      </c>
      <c r="C32" s="90">
        <v>10</v>
      </c>
      <c r="D32" s="90">
        <v>40</v>
      </c>
      <c r="E32" s="88">
        <f t="shared" si="12"/>
        <v>99</v>
      </c>
      <c r="F32" s="90">
        <v>90</v>
      </c>
      <c r="G32" s="88">
        <v>84</v>
      </c>
      <c r="H32" s="89">
        <f t="shared" si="17"/>
        <v>85.2</v>
      </c>
      <c r="I32" s="89">
        <f t="shared" si="13"/>
        <v>93</v>
      </c>
      <c r="J32" s="89">
        <f t="shared" si="14"/>
        <v>93</v>
      </c>
      <c r="K32" s="89">
        <f t="shared" si="15"/>
        <v>96.82</v>
      </c>
      <c r="L32" s="89">
        <f t="shared" si="16"/>
        <v>90.86</v>
      </c>
    </row>
    <row r="33" spans="1:12">
      <c r="A33" s="92">
        <v>26</v>
      </c>
      <c r="B33" s="90">
        <v>41</v>
      </c>
      <c r="C33" s="90">
        <v>9</v>
      </c>
      <c r="D33" s="90">
        <v>38</v>
      </c>
      <c r="E33" s="88">
        <f t="shared" si="12"/>
        <v>88</v>
      </c>
      <c r="F33" s="90">
        <v>90</v>
      </c>
      <c r="G33" s="88">
        <v>68</v>
      </c>
      <c r="H33" s="89">
        <f t="shared" si="17"/>
        <v>72.4</v>
      </c>
      <c r="I33" s="89">
        <f t="shared" si="13"/>
        <v>82</v>
      </c>
      <c r="J33" s="89">
        <f t="shared" si="14"/>
        <v>82</v>
      </c>
      <c r="K33" s="89">
        <f t="shared" si="15"/>
        <v>84.55</v>
      </c>
      <c r="L33" s="89">
        <f t="shared" si="16"/>
        <v>79.57</v>
      </c>
    </row>
    <row r="34" spans="1:12">
      <c r="A34" s="92">
        <v>27</v>
      </c>
      <c r="B34" s="90">
        <v>49</v>
      </c>
      <c r="C34" s="90">
        <v>10</v>
      </c>
      <c r="D34" s="90">
        <v>40</v>
      </c>
      <c r="E34" s="88">
        <f t="shared" si="12"/>
        <v>99</v>
      </c>
      <c r="F34" s="90">
        <v>70</v>
      </c>
      <c r="G34" s="88">
        <v>72</v>
      </c>
      <c r="H34" s="89">
        <f t="shared" si="17"/>
        <v>71.6</v>
      </c>
      <c r="I34" s="89">
        <f t="shared" si="13"/>
        <v>88</v>
      </c>
      <c r="J34" s="89">
        <f t="shared" si="14"/>
        <v>88</v>
      </c>
      <c r="K34" s="89">
        <f t="shared" si="15"/>
        <v>93.18</v>
      </c>
      <c r="L34" s="89">
        <f t="shared" si="16"/>
        <v>84</v>
      </c>
    </row>
    <row r="35" spans="1:12">
      <c r="A35" s="92">
        <v>28</v>
      </c>
      <c r="B35" s="90">
        <v>49</v>
      </c>
      <c r="C35" s="90">
        <v>10</v>
      </c>
      <c r="D35" s="90">
        <v>37</v>
      </c>
      <c r="E35" s="88">
        <f t="shared" si="12"/>
        <v>96</v>
      </c>
      <c r="F35" s="90">
        <v>90</v>
      </c>
      <c r="G35" s="88">
        <v>66</v>
      </c>
      <c r="H35" s="89">
        <f t="shared" si="17"/>
        <v>70.8</v>
      </c>
      <c r="I35" s="89">
        <f t="shared" si="13"/>
        <v>86</v>
      </c>
      <c r="J35" s="89">
        <f t="shared" si="14"/>
        <v>86</v>
      </c>
      <c r="K35" s="89">
        <f t="shared" si="15"/>
        <v>96.82</v>
      </c>
      <c r="L35" s="89">
        <f t="shared" si="16"/>
        <v>77.36</v>
      </c>
    </row>
    <row r="36" spans="1:12">
      <c r="A36" s="92">
        <v>29</v>
      </c>
      <c r="B36" s="90">
        <v>49</v>
      </c>
      <c r="C36" s="90">
        <v>10</v>
      </c>
      <c r="D36" s="90">
        <v>38</v>
      </c>
      <c r="E36" s="88">
        <f t="shared" si="12"/>
        <v>97</v>
      </c>
      <c r="F36" s="90">
        <v>90</v>
      </c>
      <c r="G36" s="88">
        <v>38</v>
      </c>
      <c r="H36" s="89">
        <f t="shared" si="17"/>
        <v>48.4</v>
      </c>
      <c r="I36" s="89">
        <f t="shared" si="13"/>
        <v>78</v>
      </c>
      <c r="J36" s="89">
        <f t="shared" si="14"/>
        <v>78</v>
      </c>
      <c r="K36" s="89">
        <f t="shared" si="15"/>
        <v>96.82</v>
      </c>
      <c r="L36" s="89">
        <f t="shared" si="16"/>
        <v>62.43</v>
      </c>
    </row>
    <row r="37" spans="1:12">
      <c r="A37" s="92">
        <v>30</v>
      </c>
      <c r="B37" s="93">
        <v>49</v>
      </c>
      <c r="C37" s="93">
        <v>10</v>
      </c>
      <c r="D37" s="93">
        <v>40</v>
      </c>
      <c r="E37" s="88">
        <f t="shared" ref="E37:E64" si="18">SUM(B37:D37)</f>
        <v>99</v>
      </c>
      <c r="F37" s="90">
        <v>80</v>
      </c>
      <c r="G37" s="88">
        <v>58</v>
      </c>
      <c r="H37" s="89">
        <f t="shared" ref="H37:H52" si="19">F37*0.2+G37*0.8</f>
        <v>62.4</v>
      </c>
      <c r="I37" s="89">
        <f t="shared" ref="I37:I47" si="20">ROUND(E37*0.6+H37*0.4,0)</f>
        <v>84</v>
      </c>
      <c r="J37" s="89">
        <f t="shared" ref="J37:J47" si="21">ROUND(K37*0.44+L37*0.56,0)</f>
        <v>84</v>
      </c>
      <c r="K37" s="89">
        <f t="shared" ref="K37:K47" si="22">ROUND(B37/50*100*30/44+C37/10*100*6/44+F37*8/44,2)</f>
        <v>95</v>
      </c>
      <c r="L37" s="89">
        <f t="shared" ref="L37:L47" si="23">ROUND(D37/40*100*24/56+G37*32/56,2)</f>
        <v>76</v>
      </c>
    </row>
    <row r="38" spans="1:12">
      <c r="A38" s="92">
        <v>31</v>
      </c>
      <c r="B38" s="93">
        <v>40</v>
      </c>
      <c r="C38" s="93">
        <v>10</v>
      </c>
      <c r="D38" s="93">
        <v>40</v>
      </c>
      <c r="E38" s="88">
        <f t="shared" si="18"/>
        <v>90</v>
      </c>
      <c r="F38" s="90">
        <v>90</v>
      </c>
      <c r="G38" s="88">
        <v>68</v>
      </c>
      <c r="H38" s="89">
        <f t="shared" si="19"/>
        <v>72.4</v>
      </c>
      <c r="I38" s="89">
        <f t="shared" si="20"/>
        <v>83</v>
      </c>
      <c r="J38" s="89">
        <f t="shared" si="21"/>
        <v>83</v>
      </c>
      <c r="K38" s="89">
        <f t="shared" si="22"/>
        <v>84.55</v>
      </c>
      <c r="L38" s="89">
        <f t="shared" si="23"/>
        <v>81.71</v>
      </c>
    </row>
    <row r="39" spans="1:12">
      <c r="A39" s="92">
        <v>32</v>
      </c>
      <c r="B39" s="93">
        <v>49</v>
      </c>
      <c r="C39" s="93">
        <v>10</v>
      </c>
      <c r="D39" s="93">
        <v>38</v>
      </c>
      <c r="E39" s="88">
        <f t="shared" si="18"/>
        <v>97</v>
      </c>
      <c r="F39" s="90">
        <v>80</v>
      </c>
      <c r="G39" s="88">
        <v>76</v>
      </c>
      <c r="H39" s="89">
        <f t="shared" si="19"/>
        <v>76.8</v>
      </c>
      <c r="I39" s="89">
        <f t="shared" si="20"/>
        <v>89</v>
      </c>
      <c r="J39" s="89">
        <f t="shared" si="21"/>
        <v>89</v>
      </c>
      <c r="K39" s="89">
        <f t="shared" si="22"/>
        <v>95</v>
      </c>
      <c r="L39" s="89">
        <f t="shared" si="23"/>
        <v>84.14</v>
      </c>
    </row>
    <row r="40" spans="1:12">
      <c r="A40" s="92">
        <v>33</v>
      </c>
      <c r="B40" s="93">
        <v>49</v>
      </c>
      <c r="C40" s="93">
        <v>10</v>
      </c>
      <c r="D40" s="93">
        <v>40</v>
      </c>
      <c r="E40" s="88">
        <f t="shared" si="18"/>
        <v>99</v>
      </c>
      <c r="F40" s="90">
        <v>80</v>
      </c>
      <c r="G40" s="88">
        <v>78</v>
      </c>
      <c r="H40" s="89">
        <f t="shared" si="19"/>
        <v>78.4</v>
      </c>
      <c r="I40" s="89">
        <f t="shared" si="20"/>
        <v>91</v>
      </c>
      <c r="J40" s="89">
        <f t="shared" si="21"/>
        <v>91</v>
      </c>
      <c r="K40" s="89">
        <f t="shared" si="22"/>
        <v>95</v>
      </c>
      <c r="L40" s="89">
        <f t="shared" si="23"/>
        <v>87.43</v>
      </c>
    </row>
    <row r="41" spans="1:12">
      <c r="A41" s="92">
        <v>34</v>
      </c>
      <c r="B41" s="93">
        <v>40</v>
      </c>
      <c r="C41" s="93">
        <v>10</v>
      </c>
      <c r="D41" s="93">
        <v>33</v>
      </c>
      <c r="E41" s="88">
        <f t="shared" si="18"/>
        <v>83</v>
      </c>
      <c r="F41" s="90">
        <v>70</v>
      </c>
      <c r="G41" s="88">
        <v>76</v>
      </c>
      <c r="H41" s="89">
        <f t="shared" si="19"/>
        <v>74.8</v>
      </c>
      <c r="I41" s="89">
        <f t="shared" si="20"/>
        <v>80</v>
      </c>
      <c r="J41" s="89">
        <f t="shared" si="21"/>
        <v>80</v>
      </c>
      <c r="K41" s="89">
        <f t="shared" si="22"/>
        <v>80.91</v>
      </c>
      <c r="L41" s="89">
        <f t="shared" si="23"/>
        <v>78.79</v>
      </c>
    </row>
    <row r="42" spans="1:12">
      <c r="A42" s="92">
        <v>35</v>
      </c>
      <c r="B42" s="90">
        <v>40</v>
      </c>
      <c r="C42" s="90">
        <v>10</v>
      </c>
      <c r="D42" s="90">
        <v>38</v>
      </c>
      <c r="E42" s="88">
        <f t="shared" si="18"/>
        <v>88</v>
      </c>
      <c r="F42" s="90">
        <v>80</v>
      </c>
      <c r="G42" s="88">
        <v>90</v>
      </c>
      <c r="H42" s="89">
        <f t="shared" si="19"/>
        <v>88</v>
      </c>
      <c r="I42" s="89">
        <f t="shared" si="20"/>
        <v>88</v>
      </c>
      <c r="J42" s="89">
        <f t="shared" si="21"/>
        <v>88</v>
      </c>
      <c r="K42" s="89">
        <f t="shared" si="22"/>
        <v>82.73</v>
      </c>
      <c r="L42" s="89">
        <f t="shared" si="23"/>
        <v>92.14</v>
      </c>
    </row>
    <row r="43" spans="1:12">
      <c r="A43" s="92">
        <v>36</v>
      </c>
      <c r="B43" s="90">
        <v>40</v>
      </c>
      <c r="C43" s="90">
        <v>10</v>
      </c>
      <c r="D43" s="90">
        <v>39</v>
      </c>
      <c r="E43" s="88">
        <f t="shared" si="18"/>
        <v>89</v>
      </c>
      <c r="F43" s="90">
        <v>70</v>
      </c>
      <c r="G43" s="88">
        <v>72</v>
      </c>
      <c r="H43" s="89">
        <f t="shared" si="19"/>
        <v>71.6</v>
      </c>
      <c r="I43" s="89">
        <f t="shared" si="20"/>
        <v>82</v>
      </c>
      <c r="J43" s="89">
        <f t="shared" si="21"/>
        <v>82</v>
      </c>
      <c r="K43" s="89">
        <f t="shared" si="22"/>
        <v>80.91</v>
      </c>
      <c r="L43" s="89">
        <f t="shared" si="23"/>
        <v>82.93</v>
      </c>
    </row>
    <row r="44" spans="1:12">
      <c r="A44" s="92">
        <v>37</v>
      </c>
      <c r="B44" s="90">
        <v>40</v>
      </c>
      <c r="C44" s="90">
        <v>10</v>
      </c>
      <c r="D44" s="90">
        <v>40</v>
      </c>
      <c r="E44" s="88">
        <f t="shared" si="18"/>
        <v>90</v>
      </c>
      <c r="F44" s="90">
        <v>70</v>
      </c>
      <c r="G44" s="88">
        <v>50</v>
      </c>
      <c r="H44" s="89">
        <f t="shared" si="19"/>
        <v>54</v>
      </c>
      <c r="I44" s="89">
        <f t="shared" si="20"/>
        <v>76</v>
      </c>
      <c r="J44" s="89">
        <f t="shared" si="21"/>
        <v>76</v>
      </c>
      <c r="K44" s="89">
        <f t="shared" si="22"/>
        <v>80.91</v>
      </c>
      <c r="L44" s="89">
        <f t="shared" si="23"/>
        <v>71.43</v>
      </c>
    </row>
    <row r="45" spans="1:12">
      <c r="A45" s="92">
        <v>38</v>
      </c>
      <c r="B45" s="90">
        <v>49</v>
      </c>
      <c r="C45" s="90">
        <v>10</v>
      </c>
      <c r="D45" s="90">
        <v>40</v>
      </c>
      <c r="E45" s="88">
        <f t="shared" si="18"/>
        <v>99</v>
      </c>
      <c r="F45" s="90">
        <v>90</v>
      </c>
      <c r="G45" s="88">
        <v>72</v>
      </c>
      <c r="H45" s="89">
        <f t="shared" si="19"/>
        <v>75.6</v>
      </c>
      <c r="I45" s="89">
        <f t="shared" si="20"/>
        <v>90</v>
      </c>
      <c r="J45" s="89">
        <f t="shared" si="21"/>
        <v>90</v>
      </c>
      <c r="K45" s="89">
        <f t="shared" si="22"/>
        <v>96.82</v>
      </c>
      <c r="L45" s="89">
        <f t="shared" si="23"/>
        <v>84</v>
      </c>
    </row>
    <row r="46" spans="1:12">
      <c r="A46" s="92">
        <v>39</v>
      </c>
      <c r="B46" s="90">
        <v>48</v>
      </c>
      <c r="C46" s="90">
        <v>10</v>
      </c>
      <c r="D46" s="90">
        <v>38</v>
      </c>
      <c r="E46" s="88">
        <f t="shared" si="18"/>
        <v>96</v>
      </c>
      <c r="F46" s="90">
        <v>80</v>
      </c>
      <c r="G46" s="88">
        <v>88</v>
      </c>
      <c r="H46" s="89">
        <f t="shared" si="19"/>
        <v>86.4</v>
      </c>
      <c r="I46" s="89">
        <f t="shared" si="20"/>
        <v>92</v>
      </c>
      <c r="J46" s="89">
        <f t="shared" si="21"/>
        <v>92</v>
      </c>
      <c r="K46" s="89">
        <f t="shared" si="22"/>
        <v>93.64</v>
      </c>
      <c r="L46" s="89">
        <f t="shared" si="23"/>
        <v>91</v>
      </c>
    </row>
    <row r="47" spans="1:12">
      <c r="A47" s="92">
        <v>40</v>
      </c>
      <c r="B47" s="90">
        <v>49</v>
      </c>
      <c r="C47" s="90">
        <v>10</v>
      </c>
      <c r="D47" s="90">
        <v>40</v>
      </c>
      <c r="E47" s="88">
        <f t="shared" si="18"/>
        <v>99</v>
      </c>
      <c r="F47" s="90">
        <v>90</v>
      </c>
      <c r="G47" s="88">
        <v>80</v>
      </c>
      <c r="H47" s="89">
        <f t="shared" si="19"/>
        <v>82</v>
      </c>
      <c r="I47" s="89">
        <f t="shared" si="20"/>
        <v>92</v>
      </c>
      <c r="J47" s="89">
        <f t="shared" si="21"/>
        <v>92</v>
      </c>
      <c r="K47" s="89">
        <f t="shared" si="22"/>
        <v>96.82</v>
      </c>
      <c r="L47" s="89">
        <f t="shared" si="23"/>
        <v>88.57</v>
      </c>
    </row>
    <row r="48" spans="1:12">
      <c r="A48" s="92">
        <v>41</v>
      </c>
      <c r="B48" s="90">
        <v>49</v>
      </c>
      <c r="C48" s="90">
        <v>10</v>
      </c>
      <c r="D48" s="90">
        <v>40</v>
      </c>
      <c r="E48" s="88">
        <f t="shared" si="18"/>
        <v>99</v>
      </c>
      <c r="F48" s="90">
        <v>90</v>
      </c>
      <c r="G48" s="88">
        <v>44</v>
      </c>
      <c r="H48" s="89">
        <f t="shared" si="19"/>
        <v>53.2</v>
      </c>
      <c r="I48" s="89">
        <f t="shared" ref="I48:I64" si="24">ROUND(E48*0.6+H48*0.4,0)</f>
        <v>81</v>
      </c>
      <c r="J48" s="89">
        <f t="shared" ref="J48:J64" si="25">ROUND(K48*0.44+L48*0.56,0)</f>
        <v>81</v>
      </c>
      <c r="K48" s="89">
        <f t="shared" ref="K48:K64" si="26">ROUND(B48/50*100*30/44+C48/10*100*6/44+F48*8/44,2)</f>
        <v>96.82</v>
      </c>
      <c r="L48" s="89">
        <f t="shared" ref="L48:L64" si="27">ROUND(D48/40*100*24/56+G48*32/56,2)</f>
        <v>68</v>
      </c>
    </row>
    <row r="49" spans="1:12">
      <c r="A49" s="92">
        <v>42</v>
      </c>
      <c r="B49" s="90">
        <v>49</v>
      </c>
      <c r="C49" s="90">
        <v>10</v>
      </c>
      <c r="D49" s="90">
        <v>40</v>
      </c>
      <c r="E49" s="88">
        <f t="shared" si="18"/>
        <v>99</v>
      </c>
      <c r="F49" s="90">
        <v>90</v>
      </c>
      <c r="G49" s="88">
        <v>74</v>
      </c>
      <c r="H49" s="89">
        <f t="shared" si="19"/>
        <v>77.2</v>
      </c>
      <c r="I49" s="89">
        <f t="shared" si="24"/>
        <v>90</v>
      </c>
      <c r="J49" s="89">
        <f t="shared" si="25"/>
        <v>90</v>
      </c>
      <c r="K49" s="89">
        <f t="shared" si="26"/>
        <v>96.82</v>
      </c>
      <c r="L49" s="89">
        <f t="shared" si="27"/>
        <v>85.14</v>
      </c>
    </row>
    <row r="50" spans="1:12">
      <c r="A50" s="92">
        <v>43</v>
      </c>
      <c r="B50" s="90">
        <v>49</v>
      </c>
      <c r="C50" s="90">
        <v>10</v>
      </c>
      <c r="D50" s="90">
        <v>40</v>
      </c>
      <c r="E50" s="88">
        <f t="shared" si="18"/>
        <v>99</v>
      </c>
      <c r="F50" s="90">
        <v>90</v>
      </c>
      <c r="G50" s="88">
        <v>44</v>
      </c>
      <c r="H50" s="89">
        <f t="shared" si="19"/>
        <v>53.2</v>
      </c>
      <c r="I50" s="89">
        <f t="shared" si="24"/>
        <v>81</v>
      </c>
      <c r="J50" s="89">
        <f t="shared" si="25"/>
        <v>81</v>
      </c>
      <c r="K50" s="89">
        <f t="shared" si="26"/>
        <v>96.82</v>
      </c>
      <c r="L50" s="89">
        <f t="shared" si="27"/>
        <v>68</v>
      </c>
    </row>
    <row r="51" spans="1:12">
      <c r="A51" s="92">
        <v>44</v>
      </c>
      <c r="B51" s="90">
        <v>49</v>
      </c>
      <c r="C51" s="90">
        <v>10</v>
      </c>
      <c r="D51" s="90">
        <v>40</v>
      </c>
      <c r="E51" s="88">
        <f t="shared" si="18"/>
        <v>99</v>
      </c>
      <c r="F51" s="90">
        <v>90</v>
      </c>
      <c r="G51" s="88">
        <v>62</v>
      </c>
      <c r="H51" s="89">
        <f t="shared" si="19"/>
        <v>67.6</v>
      </c>
      <c r="I51" s="89">
        <f t="shared" si="24"/>
        <v>86</v>
      </c>
      <c r="J51" s="89">
        <f t="shared" si="25"/>
        <v>86</v>
      </c>
      <c r="K51" s="89">
        <f t="shared" si="26"/>
        <v>96.82</v>
      </c>
      <c r="L51" s="89">
        <f t="shared" si="27"/>
        <v>78.29</v>
      </c>
    </row>
    <row r="52" spans="1:12">
      <c r="A52" s="92">
        <v>45</v>
      </c>
      <c r="B52" s="90">
        <v>49</v>
      </c>
      <c r="C52" s="90">
        <v>10</v>
      </c>
      <c r="D52" s="90">
        <v>40</v>
      </c>
      <c r="E52" s="88">
        <f t="shared" si="18"/>
        <v>99</v>
      </c>
      <c r="F52" s="90">
        <v>90</v>
      </c>
      <c r="G52" s="88">
        <v>78</v>
      </c>
      <c r="H52" s="89">
        <f t="shared" si="19"/>
        <v>80.4</v>
      </c>
      <c r="I52" s="89">
        <f t="shared" si="24"/>
        <v>92</v>
      </c>
      <c r="J52" s="89">
        <f t="shared" si="25"/>
        <v>92</v>
      </c>
      <c r="K52" s="89">
        <f t="shared" si="26"/>
        <v>96.82</v>
      </c>
      <c r="L52" s="89">
        <f t="shared" si="27"/>
        <v>87.43</v>
      </c>
    </row>
    <row r="53" spans="1:12">
      <c r="A53" s="92">
        <v>46</v>
      </c>
      <c r="B53" s="90">
        <v>30</v>
      </c>
      <c r="C53" s="90">
        <v>9</v>
      </c>
      <c r="D53" s="90">
        <v>37</v>
      </c>
      <c r="E53" s="88">
        <f t="shared" si="18"/>
        <v>76</v>
      </c>
      <c r="F53" s="90">
        <v>70</v>
      </c>
      <c r="G53" s="88">
        <v>84</v>
      </c>
      <c r="H53" s="89">
        <f t="shared" ref="H53:H64" si="28">F53*0.2+G53*0.8</f>
        <v>81.2</v>
      </c>
      <c r="I53" s="89">
        <f t="shared" si="24"/>
        <v>78</v>
      </c>
      <c r="J53" s="89">
        <f t="shared" si="25"/>
        <v>78</v>
      </c>
      <c r="K53" s="89">
        <f t="shared" si="26"/>
        <v>65.91</v>
      </c>
      <c r="L53" s="89">
        <f t="shared" si="27"/>
        <v>87.64</v>
      </c>
    </row>
    <row r="54" spans="1:12">
      <c r="A54" s="92">
        <v>47</v>
      </c>
      <c r="B54" s="90">
        <v>47</v>
      </c>
      <c r="C54" s="90">
        <v>9</v>
      </c>
      <c r="D54" s="90">
        <v>38</v>
      </c>
      <c r="E54" s="88">
        <f t="shared" si="18"/>
        <v>94</v>
      </c>
      <c r="F54" s="90">
        <v>90</v>
      </c>
      <c r="G54" s="88">
        <v>86</v>
      </c>
      <c r="H54" s="89">
        <f t="shared" si="28"/>
        <v>86.8</v>
      </c>
      <c r="I54" s="89">
        <f t="shared" si="24"/>
        <v>91</v>
      </c>
      <c r="J54" s="89">
        <f t="shared" si="25"/>
        <v>91</v>
      </c>
      <c r="K54" s="89">
        <f t="shared" si="26"/>
        <v>92.73</v>
      </c>
      <c r="L54" s="89">
        <f t="shared" si="27"/>
        <v>89.86</v>
      </c>
    </row>
    <row r="55" spans="1:12">
      <c r="A55" s="92">
        <v>48</v>
      </c>
      <c r="B55" s="90">
        <v>44</v>
      </c>
      <c r="C55" s="90">
        <v>10</v>
      </c>
      <c r="D55" s="90">
        <v>38</v>
      </c>
      <c r="E55" s="88">
        <f t="shared" si="18"/>
        <v>92</v>
      </c>
      <c r="F55" s="90">
        <v>90</v>
      </c>
      <c r="G55" s="88">
        <v>56</v>
      </c>
      <c r="H55" s="89">
        <f t="shared" si="28"/>
        <v>62.8</v>
      </c>
      <c r="I55" s="89">
        <f t="shared" si="24"/>
        <v>80</v>
      </c>
      <c r="J55" s="89">
        <f t="shared" si="25"/>
        <v>80</v>
      </c>
      <c r="K55" s="89">
        <f t="shared" si="26"/>
        <v>90</v>
      </c>
      <c r="L55" s="89">
        <f t="shared" si="27"/>
        <v>72.71</v>
      </c>
    </row>
    <row r="56" spans="1:12">
      <c r="A56" s="92">
        <v>49</v>
      </c>
      <c r="B56" s="90">
        <v>40</v>
      </c>
      <c r="C56" s="90">
        <v>10</v>
      </c>
      <c r="D56" s="90">
        <v>37</v>
      </c>
      <c r="E56" s="88">
        <f t="shared" si="18"/>
        <v>87</v>
      </c>
      <c r="F56" s="90">
        <v>90</v>
      </c>
      <c r="G56" s="88">
        <v>60</v>
      </c>
      <c r="H56" s="89">
        <f t="shared" si="28"/>
        <v>66</v>
      </c>
      <c r="I56" s="89">
        <f t="shared" si="24"/>
        <v>79</v>
      </c>
      <c r="J56" s="89">
        <f t="shared" si="25"/>
        <v>79</v>
      </c>
      <c r="K56" s="89">
        <f t="shared" si="26"/>
        <v>84.55</v>
      </c>
      <c r="L56" s="89">
        <f t="shared" si="27"/>
        <v>73.93</v>
      </c>
    </row>
    <row r="57" spans="1:12">
      <c r="A57" s="92">
        <v>50</v>
      </c>
      <c r="B57" s="90">
        <v>40</v>
      </c>
      <c r="C57" s="90">
        <v>10</v>
      </c>
      <c r="D57" s="90">
        <v>40</v>
      </c>
      <c r="E57" s="88">
        <f t="shared" si="18"/>
        <v>90</v>
      </c>
      <c r="F57" s="90">
        <v>90</v>
      </c>
      <c r="G57" s="88">
        <v>50</v>
      </c>
      <c r="H57" s="89">
        <f t="shared" si="28"/>
        <v>58</v>
      </c>
      <c r="I57" s="89">
        <f t="shared" si="24"/>
        <v>77</v>
      </c>
      <c r="J57" s="89">
        <f t="shared" si="25"/>
        <v>77</v>
      </c>
      <c r="K57" s="89">
        <f t="shared" si="26"/>
        <v>84.55</v>
      </c>
      <c r="L57" s="89">
        <f t="shared" si="27"/>
        <v>71.43</v>
      </c>
    </row>
    <row r="58" spans="1:12">
      <c r="A58" s="92">
        <v>51</v>
      </c>
      <c r="B58" s="90">
        <v>49</v>
      </c>
      <c r="C58" s="90">
        <v>10</v>
      </c>
      <c r="D58" s="90">
        <v>40</v>
      </c>
      <c r="E58" s="88">
        <f t="shared" si="18"/>
        <v>99</v>
      </c>
      <c r="F58" s="90">
        <v>90</v>
      </c>
      <c r="G58" s="88">
        <v>84</v>
      </c>
      <c r="H58" s="89">
        <f t="shared" si="28"/>
        <v>85.2</v>
      </c>
      <c r="I58" s="89">
        <f t="shared" si="24"/>
        <v>93</v>
      </c>
      <c r="J58" s="89">
        <f t="shared" si="25"/>
        <v>93</v>
      </c>
      <c r="K58" s="89">
        <f t="shared" si="26"/>
        <v>96.82</v>
      </c>
      <c r="L58" s="89">
        <f t="shared" si="27"/>
        <v>90.86</v>
      </c>
    </row>
    <row r="59" spans="1:12">
      <c r="A59" s="92">
        <v>52</v>
      </c>
      <c r="B59" s="90">
        <v>49</v>
      </c>
      <c r="C59" s="90">
        <v>9</v>
      </c>
      <c r="D59" s="90">
        <v>36</v>
      </c>
      <c r="E59" s="88">
        <f t="shared" si="18"/>
        <v>94</v>
      </c>
      <c r="F59" s="90">
        <v>80</v>
      </c>
      <c r="G59" s="88">
        <v>82</v>
      </c>
      <c r="H59" s="89">
        <f t="shared" si="28"/>
        <v>81.6</v>
      </c>
      <c r="I59" s="89">
        <f t="shared" si="24"/>
        <v>89</v>
      </c>
      <c r="J59" s="89">
        <f t="shared" si="25"/>
        <v>89</v>
      </c>
      <c r="K59" s="89">
        <f t="shared" si="26"/>
        <v>93.64</v>
      </c>
      <c r="L59" s="89">
        <f t="shared" si="27"/>
        <v>85.43</v>
      </c>
    </row>
    <row r="60" spans="1:12">
      <c r="A60" s="92">
        <v>53</v>
      </c>
      <c r="B60" s="90">
        <v>33</v>
      </c>
      <c r="C60" s="90">
        <v>10</v>
      </c>
      <c r="D60" s="90">
        <v>39</v>
      </c>
      <c r="E60" s="88">
        <f t="shared" si="18"/>
        <v>82</v>
      </c>
      <c r="F60" s="90">
        <v>70</v>
      </c>
      <c r="G60" s="88">
        <v>78</v>
      </c>
      <c r="H60" s="89">
        <f t="shared" si="28"/>
        <v>76.4</v>
      </c>
      <c r="I60" s="89">
        <f t="shared" si="24"/>
        <v>80</v>
      </c>
      <c r="J60" s="89">
        <f t="shared" si="25"/>
        <v>80</v>
      </c>
      <c r="K60" s="89">
        <f t="shared" si="26"/>
        <v>71.36</v>
      </c>
      <c r="L60" s="89">
        <f t="shared" si="27"/>
        <v>86.36</v>
      </c>
    </row>
    <row r="61" spans="1:12">
      <c r="A61" s="92">
        <v>54</v>
      </c>
      <c r="B61" s="90">
        <v>49</v>
      </c>
      <c r="C61" s="90">
        <v>10</v>
      </c>
      <c r="D61" s="90">
        <v>39</v>
      </c>
      <c r="E61" s="88">
        <f t="shared" si="18"/>
        <v>98</v>
      </c>
      <c r="F61" s="90">
        <v>60</v>
      </c>
      <c r="G61" s="88">
        <v>88</v>
      </c>
      <c r="H61" s="89">
        <f t="shared" si="28"/>
        <v>82.4</v>
      </c>
      <c r="I61" s="89">
        <f t="shared" si="24"/>
        <v>92</v>
      </c>
      <c r="J61" s="89">
        <f t="shared" si="25"/>
        <v>92</v>
      </c>
      <c r="K61" s="89">
        <f t="shared" si="26"/>
        <v>91.36</v>
      </c>
      <c r="L61" s="89">
        <f t="shared" si="27"/>
        <v>92.07</v>
      </c>
    </row>
    <row r="62" spans="1:12">
      <c r="A62" s="92">
        <v>55</v>
      </c>
      <c r="B62" s="90">
        <v>49</v>
      </c>
      <c r="C62" s="90">
        <v>10</v>
      </c>
      <c r="D62" s="90">
        <v>40</v>
      </c>
      <c r="E62" s="88">
        <f t="shared" si="18"/>
        <v>99</v>
      </c>
      <c r="F62" s="90">
        <v>80</v>
      </c>
      <c r="G62" s="88">
        <v>82</v>
      </c>
      <c r="H62" s="89">
        <f t="shared" si="28"/>
        <v>81.6</v>
      </c>
      <c r="I62" s="89">
        <f t="shared" si="24"/>
        <v>92</v>
      </c>
      <c r="J62" s="89">
        <f t="shared" si="25"/>
        <v>92</v>
      </c>
      <c r="K62" s="89">
        <f t="shared" si="26"/>
        <v>95</v>
      </c>
      <c r="L62" s="89">
        <f t="shared" si="27"/>
        <v>89.71</v>
      </c>
    </row>
    <row r="63" spans="1:12">
      <c r="A63" s="92">
        <v>56</v>
      </c>
      <c r="B63" s="90">
        <v>31</v>
      </c>
      <c r="C63" s="90">
        <v>7</v>
      </c>
      <c r="D63" s="90">
        <v>30</v>
      </c>
      <c r="E63" s="88">
        <f t="shared" si="18"/>
        <v>68</v>
      </c>
      <c r="F63" s="90">
        <v>90</v>
      </c>
      <c r="G63" s="88">
        <v>72</v>
      </c>
      <c r="H63" s="89">
        <f t="shared" si="28"/>
        <v>75.6</v>
      </c>
      <c r="I63" s="89">
        <f t="shared" si="24"/>
        <v>71</v>
      </c>
      <c r="J63" s="89">
        <f t="shared" si="25"/>
        <v>71</v>
      </c>
      <c r="K63" s="89">
        <f t="shared" si="26"/>
        <v>68.18</v>
      </c>
      <c r="L63" s="89">
        <f t="shared" si="27"/>
        <v>73.29</v>
      </c>
    </row>
    <row r="64" spans="1:12">
      <c r="A64" s="92">
        <v>57</v>
      </c>
      <c r="B64" s="90">
        <v>49</v>
      </c>
      <c r="C64" s="90">
        <v>10</v>
      </c>
      <c r="D64" s="90">
        <v>38</v>
      </c>
      <c r="E64" s="88">
        <f t="shared" si="18"/>
        <v>97</v>
      </c>
      <c r="F64" s="90">
        <v>60</v>
      </c>
      <c r="G64" s="88">
        <v>70</v>
      </c>
      <c r="H64" s="89">
        <f t="shared" si="28"/>
        <v>68</v>
      </c>
      <c r="I64" s="89">
        <f t="shared" si="24"/>
        <v>85</v>
      </c>
      <c r="J64" s="89">
        <f t="shared" si="25"/>
        <v>85</v>
      </c>
      <c r="K64" s="89">
        <f t="shared" si="26"/>
        <v>91.36</v>
      </c>
      <c r="L64" s="89">
        <f t="shared" si="27"/>
        <v>80.71</v>
      </c>
    </row>
    <row r="65" spans="1:12">
      <c r="A65" s="92"/>
      <c r="B65" s="90"/>
      <c r="C65" s="90"/>
      <c r="D65" s="90"/>
      <c r="E65" s="88"/>
      <c r="F65" s="90"/>
      <c r="G65" s="88"/>
      <c r="H65" s="88"/>
      <c r="I65" s="88"/>
      <c r="J65" s="88"/>
      <c r="K65" s="88"/>
      <c r="L65" s="88"/>
    </row>
    <row r="66" spans="1:12">
      <c r="A66" s="92"/>
      <c r="B66" s="90"/>
      <c r="C66" s="90"/>
      <c r="D66" s="90"/>
      <c r="E66" s="88"/>
      <c r="F66" s="90"/>
      <c r="G66" s="88"/>
      <c r="H66" s="88"/>
      <c r="I66" s="88"/>
      <c r="J66" s="88"/>
      <c r="K66" s="88"/>
      <c r="L66" s="88"/>
    </row>
    <row r="67" spans="1:12">
      <c r="A67" s="92"/>
      <c r="B67" s="90"/>
      <c r="C67" s="90"/>
      <c r="D67" s="90"/>
      <c r="E67" s="88"/>
      <c r="F67" s="90"/>
      <c r="G67" s="88"/>
      <c r="H67" s="88"/>
      <c r="I67" s="88"/>
      <c r="J67" s="88"/>
      <c r="K67" s="88"/>
      <c r="L67" s="88"/>
    </row>
    <row r="68" spans="1:12">
      <c r="A68" s="92"/>
      <c r="B68" s="90"/>
      <c r="C68" s="90"/>
      <c r="D68" s="90"/>
      <c r="E68" s="88"/>
      <c r="F68" s="90"/>
      <c r="G68" s="88"/>
      <c r="H68" s="88"/>
      <c r="I68" s="88"/>
      <c r="J68" s="88"/>
      <c r="K68" s="88"/>
      <c r="L68" s="88"/>
    </row>
    <row r="69" spans="1:12">
      <c r="A69" s="92"/>
      <c r="B69" s="90"/>
      <c r="C69" s="90"/>
      <c r="D69" s="90"/>
      <c r="E69" s="88"/>
      <c r="F69" s="90"/>
      <c r="G69" s="88"/>
      <c r="H69" s="88"/>
      <c r="I69" s="88"/>
      <c r="J69" s="88"/>
      <c r="K69" s="88"/>
      <c r="L69" s="88"/>
    </row>
    <row r="70" spans="1:12">
      <c r="A70" s="92"/>
      <c r="B70" s="90"/>
      <c r="C70" s="90"/>
      <c r="D70" s="90"/>
      <c r="E70" s="88"/>
      <c r="F70" s="90"/>
      <c r="G70" s="88"/>
      <c r="H70" s="88"/>
      <c r="I70" s="88"/>
      <c r="J70" s="88"/>
      <c r="K70" s="88"/>
      <c r="L70" s="88"/>
    </row>
    <row r="71" spans="1:12">
      <c r="A71" s="92"/>
      <c r="B71" s="90"/>
      <c r="C71" s="90"/>
      <c r="D71" s="90"/>
      <c r="E71" s="88"/>
      <c r="F71" s="90"/>
      <c r="G71" s="88"/>
      <c r="H71" s="88"/>
      <c r="I71" s="88"/>
      <c r="J71" s="88"/>
      <c r="K71" s="88"/>
      <c r="L71" s="88"/>
    </row>
    <row r="72" spans="1:12">
      <c r="A72" s="92"/>
      <c r="B72" s="90"/>
      <c r="C72" s="90"/>
      <c r="D72" s="90"/>
      <c r="E72" s="88"/>
      <c r="F72" s="90"/>
      <c r="G72" s="88"/>
      <c r="H72" s="88"/>
      <c r="I72" s="88"/>
      <c r="J72" s="88"/>
      <c r="K72" s="88"/>
      <c r="L72" s="88"/>
    </row>
    <row r="73" spans="1:12">
      <c r="A73" s="92"/>
      <c r="B73" s="90"/>
      <c r="C73" s="90"/>
      <c r="D73" s="90"/>
      <c r="E73" s="88"/>
      <c r="F73" s="90"/>
      <c r="G73" s="88"/>
      <c r="H73" s="88"/>
      <c r="I73" s="88"/>
      <c r="J73" s="88"/>
      <c r="K73" s="88"/>
      <c r="L73" s="88"/>
    </row>
    <row r="74" spans="1:12">
      <c r="A74" s="92"/>
      <c r="B74" s="90"/>
      <c r="C74" s="90"/>
      <c r="D74" s="90"/>
      <c r="E74" s="88"/>
      <c r="F74" s="90"/>
      <c r="G74" s="88"/>
      <c r="H74" s="88"/>
      <c r="I74" s="88"/>
      <c r="J74" s="88"/>
      <c r="K74" s="88"/>
      <c r="L74" s="88"/>
    </row>
    <row r="75" spans="1:12">
      <c r="A75" s="92"/>
      <c r="B75" s="90"/>
      <c r="C75" s="90"/>
      <c r="D75" s="90"/>
      <c r="E75" s="88"/>
      <c r="F75" s="90"/>
      <c r="G75" s="88"/>
      <c r="H75" s="88"/>
      <c r="I75" s="88"/>
      <c r="J75" s="88"/>
      <c r="K75" s="88"/>
      <c r="L75" s="88"/>
    </row>
    <row r="76" spans="1:12">
      <c r="A76" s="92"/>
      <c r="B76" s="90"/>
      <c r="C76" s="90"/>
      <c r="D76" s="90"/>
      <c r="E76" s="88"/>
      <c r="F76" s="90"/>
      <c r="G76" s="88"/>
      <c r="H76" s="88"/>
      <c r="I76" s="88"/>
      <c r="J76" s="88"/>
      <c r="K76" s="88"/>
      <c r="L76" s="88"/>
    </row>
    <row r="77" spans="1:12">
      <c r="A77" s="92"/>
      <c r="B77" s="90"/>
      <c r="C77" s="90"/>
      <c r="D77" s="90"/>
      <c r="E77" s="88"/>
      <c r="F77" s="90"/>
      <c r="G77" s="88"/>
      <c r="H77" s="88"/>
      <c r="I77" s="88"/>
      <c r="J77" s="88"/>
      <c r="K77" s="88"/>
      <c r="L77" s="88"/>
    </row>
    <row r="78" spans="1:12">
      <c r="A78" s="92"/>
      <c r="B78" s="90"/>
      <c r="C78" s="90"/>
      <c r="D78" s="90"/>
      <c r="E78" s="88"/>
      <c r="F78" s="90"/>
      <c r="G78" s="88"/>
      <c r="H78" s="88"/>
      <c r="I78" s="88"/>
      <c r="J78" s="88"/>
      <c r="K78" s="88"/>
      <c r="L78" s="88"/>
    </row>
    <row r="79" spans="1:12">
      <c r="A79" s="92"/>
      <c r="B79" s="90"/>
      <c r="C79" s="90"/>
      <c r="D79" s="90"/>
      <c r="E79" s="88"/>
      <c r="F79" s="90"/>
      <c r="G79" s="88"/>
      <c r="H79" s="88"/>
      <c r="I79" s="88"/>
      <c r="J79" s="88"/>
      <c r="K79" s="88"/>
      <c r="L79" s="88"/>
    </row>
    <row r="80" spans="1:12">
      <c r="A80" s="92"/>
      <c r="B80" s="90"/>
      <c r="C80" s="90"/>
      <c r="D80" s="90"/>
      <c r="E80" s="88"/>
      <c r="F80" s="90"/>
      <c r="G80" s="88"/>
      <c r="H80" s="88"/>
      <c r="I80" s="88"/>
      <c r="J80" s="88"/>
      <c r="K80" s="88"/>
      <c r="L80" s="88"/>
    </row>
    <row r="81" spans="1:12">
      <c r="A81" s="92"/>
      <c r="B81" s="90"/>
      <c r="C81" s="90"/>
      <c r="D81" s="90"/>
      <c r="E81" s="88"/>
      <c r="F81" s="90"/>
      <c r="G81" s="88"/>
      <c r="H81" s="88"/>
      <c r="I81" s="88"/>
      <c r="J81" s="88"/>
      <c r="K81" s="88"/>
      <c r="L81" s="88"/>
    </row>
    <row r="82" spans="1:12">
      <c r="A82" s="92"/>
      <c r="B82" s="90"/>
      <c r="C82" s="90"/>
      <c r="D82" s="90"/>
      <c r="E82" s="88"/>
      <c r="F82" s="90"/>
      <c r="G82" s="88"/>
      <c r="H82" s="88"/>
      <c r="I82" s="88"/>
      <c r="J82" s="88"/>
      <c r="K82" s="88"/>
      <c r="L82" s="88"/>
    </row>
  </sheetData>
  <mergeCells count="4">
    <mergeCell ref="A1:L1"/>
    <mergeCell ref="B2:E2"/>
    <mergeCell ref="F2:H2"/>
    <mergeCell ref="A2:A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opLeftCell="A83" workbookViewId="0">
      <selection activeCell="N13" sqref="N13"/>
    </sheetView>
  </sheetViews>
  <sheetFormatPr defaultColWidth="9" defaultRowHeight="16.8"/>
  <cols>
    <col min="1" max="1" width="12.3392857142857" style="57" customWidth="1"/>
    <col min="2" max="2" width="14.8839285714286" style="57" customWidth="1"/>
    <col min="3" max="3" width="13.5267857142857" style="57" customWidth="1"/>
    <col min="4" max="4" width="13.6964285714286" style="57" customWidth="1"/>
    <col min="5" max="5" width="12.5" style="57" customWidth="1"/>
    <col min="6" max="6" width="12.9464285714286" style="57" customWidth="1"/>
    <col min="7" max="7" width="11.3125" style="57" customWidth="1"/>
    <col min="8" max="8" width="12.0535714285714" style="57" customWidth="1"/>
    <col min="9" max="9" width="15.0267857142857" style="57" customWidth="1"/>
    <col min="10" max="10" width="14.1428571428571" style="57" customWidth="1"/>
    <col min="11" max="11" width="13.0892857142857" style="57" customWidth="1"/>
    <col min="12" max="12" width="12.4910714285714" style="57" customWidth="1"/>
    <col min="13" max="16384" width="9" style="57"/>
  </cols>
  <sheetData>
    <row r="1" ht="26" spans="1:12">
      <c r="A1" s="28"/>
      <c r="B1" s="28"/>
      <c r="C1" s="28"/>
      <c r="D1" s="28"/>
      <c r="E1" s="58"/>
      <c r="F1" s="28"/>
      <c r="G1" s="58"/>
      <c r="H1" s="28"/>
      <c r="I1" s="28"/>
      <c r="J1" s="28"/>
      <c r="K1" s="28"/>
      <c r="L1" s="28"/>
    </row>
    <row r="2" spans="1:12">
      <c r="A2" s="29" t="s">
        <v>0</v>
      </c>
      <c r="B2" s="30" t="s">
        <v>1</v>
      </c>
      <c r="C2" s="31"/>
      <c r="D2" s="31"/>
      <c r="E2" s="59"/>
      <c r="F2" s="30" t="s">
        <v>2</v>
      </c>
      <c r="G2" s="60"/>
      <c r="H2" s="32"/>
      <c r="I2" s="32" t="s">
        <v>3</v>
      </c>
      <c r="J2" s="33" t="s">
        <v>4</v>
      </c>
      <c r="K2" s="33" t="s">
        <v>5</v>
      </c>
      <c r="L2" s="33" t="s">
        <v>6</v>
      </c>
    </row>
    <row r="3" spans="1:12">
      <c r="A3" s="61"/>
      <c r="B3" s="35" t="s">
        <v>7</v>
      </c>
      <c r="C3" s="35" t="s">
        <v>8</v>
      </c>
      <c r="D3" s="35" t="s">
        <v>9</v>
      </c>
      <c r="E3" s="36" t="s">
        <v>10</v>
      </c>
      <c r="F3" s="35" t="s">
        <v>11</v>
      </c>
      <c r="G3" s="35" t="s">
        <v>12</v>
      </c>
      <c r="H3" s="36" t="s">
        <v>13</v>
      </c>
      <c r="I3" s="36"/>
      <c r="J3" s="36" t="s">
        <v>14</v>
      </c>
      <c r="K3" s="62">
        <v>0.44</v>
      </c>
      <c r="L3" s="62">
        <v>0.56</v>
      </c>
    </row>
    <row r="4" spans="1:12">
      <c r="A4" s="63" t="s">
        <v>15</v>
      </c>
      <c r="B4" s="64">
        <v>44</v>
      </c>
      <c r="C4" s="64">
        <v>10</v>
      </c>
      <c r="D4" s="64">
        <v>38</v>
      </c>
      <c r="E4" s="65">
        <f t="shared" ref="E4:E6" si="0">SUM(B4:D4)</f>
        <v>92</v>
      </c>
      <c r="F4" s="64">
        <v>85</v>
      </c>
      <c r="G4" s="65">
        <v>46</v>
      </c>
      <c r="H4" s="38">
        <f t="shared" ref="H4:H67" si="1">F4*0.2+G4*0.8</f>
        <v>53.8</v>
      </c>
      <c r="I4" s="38">
        <f t="shared" ref="I4:I67" si="2">ROUND(E4*0.6+H4*0.4,0)</f>
        <v>77</v>
      </c>
      <c r="J4" s="38">
        <f t="shared" ref="J4:J67" si="3">ROUND(K4*0.44+L4*0.56,0)</f>
        <v>77</v>
      </c>
      <c r="K4" s="38">
        <f t="shared" ref="K4:K67" si="4">ROUND(B4/50*100*30/44+C4/10*100*6/44+F4*8/44,2)</f>
        <v>89.09</v>
      </c>
      <c r="L4" s="38">
        <f t="shared" ref="L4:L67" si="5">ROUND(D4/40*100*24/56+G4*32/56,2)</f>
        <v>67</v>
      </c>
    </row>
    <row r="5" spans="1:12">
      <c r="A5" s="63" t="s">
        <v>15</v>
      </c>
      <c r="B5" s="66">
        <v>50</v>
      </c>
      <c r="C5" s="66">
        <v>10</v>
      </c>
      <c r="D5" s="66">
        <v>40</v>
      </c>
      <c r="E5" s="65">
        <f t="shared" si="0"/>
        <v>100</v>
      </c>
      <c r="F5" s="66">
        <v>100</v>
      </c>
      <c r="G5" s="65">
        <v>100</v>
      </c>
      <c r="H5" s="38">
        <f t="shared" si="1"/>
        <v>100</v>
      </c>
      <c r="I5" s="38">
        <f t="shared" si="2"/>
        <v>100</v>
      </c>
      <c r="J5" s="38">
        <f t="shared" si="3"/>
        <v>100</v>
      </c>
      <c r="K5" s="38">
        <f t="shared" si="4"/>
        <v>100</v>
      </c>
      <c r="L5" s="38">
        <f t="shared" si="5"/>
        <v>100</v>
      </c>
    </row>
    <row r="6" spans="1:12">
      <c r="A6" s="63" t="s">
        <v>15</v>
      </c>
      <c r="B6" s="67">
        <v>30</v>
      </c>
      <c r="C6" s="67">
        <v>6</v>
      </c>
      <c r="D6" s="67">
        <v>24</v>
      </c>
      <c r="E6" s="65">
        <f t="shared" si="0"/>
        <v>60</v>
      </c>
      <c r="F6" s="66">
        <v>83</v>
      </c>
      <c r="G6" s="65">
        <v>56</v>
      </c>
      <c r="H6" s="38">
        <f t="shared" si="1"/>
        <v>61.4</v>
      </c>
      <c r="I6" s="38">
        <f t="shared" si="2"/>
        <v>61</v>
      </c>
      <c r="J6" s="38">
        <f t="shared" si="3"/>
        <v>61</v>
      </c>
      <c r="K6" s="38">
        <f t="shared" si="4"/>
        <v>64.18</v>
      </c>
      <c r="L6" s="38">
        <f t="shared" si="5"/>
        <v>57.71</v>
      </c>
    </row>
    <row r="7" spans="1:12">
      <c r="E7" s="68"/>
      <c r="G7" s="68"/>
      <c r="H7" s="38">
        <f t="shared" si="1"/>
        <v>0</v>
      </c>
      <c r="I7" s="38">
        <f t="shared" si="2"/>
        <v>0</v>
      </c>
      <c r="J7" s="38">
        <f t="shared" si="3"/>
        <v>0</v>
      </c>
      <c r="K7" s="38">
        <f t="shared" si="4"/>
        <v>0</v>
      </c>
      <c r="L7" s="38">
        <f t="shared" si="5"/>
        <v>0</v>
      </c>
    </row>
    <row r="8" spans="1:12">
      <c r="A8" s="69" t="s">
        <v>16</v>
      </c>
      <c r="B8" s="70">
        <v>17</v>
      </c>
      <c r="C8" s="70">
        <v>0</v>
      </c>
      <c r="D8" s="70">
        <v>17</v>
      </c>
      <c r="E8" s="71">
        <v>34</v>
      </c>
      <c r="F8" s="70">
        <v>0</v>
      </c>
      <c r="G8" s="71">
        <v>0</v>
      </c>
      <c r="H8" s="56">
        <f t="shared" si="1"/>
        <v>0</v>
      </c>
      <c r="I8" s="56">
        <f t="shared" si="2"/>
        <v>20</v>
      </c>
      <c r="J8" s="56">
        <f t="shared" si="3"/>
        <v>20</v>
      </c>
      <c r="K8" s="56">
        <f t="shared" si="4"/>
        <v>23.18</v>
      </c>
      <c r="L8" s="56">
        <f t="shared" si="5"/>
        <v>18.21</v>
      </c>
    </row>
    <row r="9" spans="1:12">
      <c r="A9" s="69" t="s">
        <v>17</v>
      </c>
      <c r="B9" s="72">
        <v>49</v>
      </c>
      <c r="C9" s="72">
        <v>10</v>
      </c>
      <c r="D9" s="72">
        <v>37</v>
      </c>
      <c r="E9" s="72">
        <v>96</v>
      </c>
      <c r="F9" s="73">
        <v>60</v>
      </c>
      <c r="G9" s="71">
        <v>58</v>
      </c>
      <c r="H9" s="38">
        <f t="shared" si="1"/>
        <v>58.4</v>
      </c>
      <c r="I9" s="38">
        <f t="shared" si="2"/>
        <v>81</v>
      </c>
      <c r="J9" s="38">
        <f t="shared" si="3"/>
        <v>81</v>
      </c>
      <c r="K9" s="38">
        <f t="shared" si="4"/>
        <v>91.36</v>
      </c>
      <c r="L9" s="38">
        <f t="shared" si="5"/>
        <v>72.79</v>
      </c>
    </row>
    <row r="10" spans="1:12">
      <c r="A10" s="69" t="s">
        <v>18</v>
      </c>
      <c r="B10" s="72">
        <v>49</v>
      </c>
      <c r="C10" s="72">
        <v>10</v>
      </c>
      <c r="D10" s="72">
        <v>39</v>
      </c>
      <c r="E10" s="72">
        <v>98</v>
      </c>
      <c r="F10" s="73">
        <v>0</v>
      </c>
      <c r="G10" s="71">
        <v>30</v>
      </c>
      <c r="H10" s="38">
        <f t="shared" si="1"/>
        <v>24</v>
      </c>
      <c r="I10" s="38">
        <f t="shared" si="2"/>
        <v>68</v>
      </c>
      <c r="J10" s="38">
        <f t="shared" si="3"/>
        <v>68</v>
      </c>
      <c r="K10" s="38">
        <f t="shared" si="4"/>
        <v>80.45</v>
      </c>
      <c r="L10" s="38">
        <f t="shared" si="5"/>
        <v>58.93</v>
      </c>
    </row>
    <row r="11" spans="1:12">
      <c r="A11" s="69" t="s">
        <v>19</v>
      </c>
      <c r="B11" s="72">
        <v>49</v>
      </c>
      <c r="C11" s="72">
        <v>10</v>
      </c>
      <c r="D11" s="72">
        <v>36</v>
      </c>
      <c r="E11" s="72">
        <v>95</v>
      </c>
      <c r="F11" s="73">
        <v>60</v>
      </c>
      <c r="G11" s="71">
        <v>72</v>
      </c>
      <c r="H11" s="38">
        <f t="shared" si="1"/>
        <v>69.6</v>
      </c>
      <c r="I11" s="38">
        <f t="shared" si="2"/>
        <v>85</v>
      </c>
      <c r="J11" s="38">
        <f t="shared" si="3"/>
        <v>85</v>
      </c>
      <c r="K11" s="38">
        <f t="shared" si="4"/>
        <v>91.36</v>
      </c>
      <c r="L11" s="38">
        <f t="shared" si="5"/>
        <v>79.71</v>
      </c>
    </row>
    <row r="12" spans="1:12">
      <c r="A12" s="69" t="s">
        <v>20</v>
      </c>
      <c r="B12" s="72">
        <v>43</v>
      </c>
      <c r="C12" s="72">
        <v>10</v>
      </c>
      <c r="D12" s="72">
        <v>38</v>
      </c>
      <c r="E12" s="72">
        <v>91</v>
      </c>
      <c r="F12" s="74">
        <v>60</v>
      </c>
      <c r="G12" s="71">
        <v>66</v>
      </c>
      <c r="H12" s="38">
        <f t="shared" si="1"/>
        <v>64.8</v>
      </c>
      <c r="I12" s="38">
        <f t="shared" si="2"/>
        <v>81</v>
      </c>
      <c r="J12" s="38">
        <f t="shared" si="3"/>
        <v>81</v>
      </c>
      <c r="K12" s="38">
        <f t="shared" si="4"/>
        <v>83.18</v>
      </c>
      <c r="L12" s="38">
        <f t="shared" si="5"/>
        <v>78.43</v>
      </c>
    </row>
    <row r="13" spans="1:12">
      <c r="A13" s="69" t="s">
        <v>21</v>
      </c>
      <c r="B13" s="72">
        <v>41</v>
      </c>
      <c r="C13" s="72">
        <v>10</v>
      </c>
      <c r="D13" s="72">
        <v>37</v>
      </c>
      <c r="E13" s="72">
        <v>88</v>
      </c>
      <c r="F13" s="73">
        <v>60</v>
      </c>
      <c r="G13" s="71">
        <v>52</v>
      </c>
      <c r="H13" s="38">
        <f t="shared" si="1"/>
        <v>53.6</v>
      </c>
      <c r="I13" s="38">
        <f t="shared" si="2"/>
        <v>74</v>
      </c>
      <c r="J13" s="38">
        <f t="shared" si="3"/>
        <v>74</v>
      </c>
      <c r="K13" s="38">
        <f t="shared" si="4"/>
        <v>80.45</v>
      </c>
      <c r="L13" s="38">
        <f t="shared" si="5"/>
        <v>69.36</v>
      </c>
    </row>
    <row r="14" spans="1:12">
      <c r="A14" s="69" t="s">
        <v>22</v>
      </c>
      <c r="B14" s="72">
        <v>43</v>
      </c>
      <c r="C14" s="72">
        <v>10</v>
      </c>
      <c r="D14" s="72">
        <v>37</v>
      </c>
      <c r="E14" s="72">
        <v>90</v>
      </c>
      <c r="F14" s="73">
        <v>60</v>
      </c>
      <c r="G14" s="71">
        <v>36</v>
      </c>
      <c r="H14" s="38">
        <f t="shared" si="1"/>
        <v>40.8</v>
      </c>
      <c r="I14" s="38">
        <f t="shared" si="2"/>
        <v>70</v>
      </c>
      <c r="J14" s="38">
        <f t="shared" si="3"/>
        <v>70</v>
      </c>
      <c r="K14" s="38">
        <f t="shared" si="4"/>
        <v>83.18</v>
      </c>
      <c r="L14" s="38">
        <f t="shared" si="5"/>
        <v>60.21</v>
      </c>
    </row>
    <row r="15" spans="1:12">
      <c r="A15" s="69" t="s">
        <v>23</v>
      </c>
      <c r="B15" s="72">
        <v>43</v>
      </c>
      <c r="C15" s="72">
        <v>10</v>
      </c>
      <c r="D15" s="72">
        <v>40</v>
      </c>
      <c r="E15" s="72">
        <v>93</v>
      </c>
      <c r="F15" s="73">
        <v>60</v>
      </c>
      <c r="G15" s="71">
        <v>52</v>
      </c>
      <c r="H15" s="38">
        <f t="shared" si="1"/>
        <v>53.6</v>
      </c>
      <c r="I15" s="38">
        <f t="shared" si="2"/>
        <v>77</v>
      </c>
      <c r="J15" s="38">
        <f t="shared" si="3"/>
        <v>77</v>
      </c>
      <c r="K15" s="38">
        <f t="shared" si="4"/>
        <v>83.18</v>
      </c>
      <c r="L15" s="38">
        <f t="shared" si="5"/>
        <v>72.57</v>
      </c>
    </row>
    <row r="16" spans="1:12">
      <c r="A16" s="69" t="s">
        <v>24</v>
      </c>
      <c r="B16" s="72">
        <v>38</v>
      </c>
      <c r="C16" s="72">
        <v>2</v>
      </c>
      <c r="D16" s="72">
        <v>39</v>
      </c>
      <c r="E16" s="72">
        <v>79</v>
      </c>
      <c r="F16" s="73">
        <v>60</v>
      </c>
      <c r="G16" s="71">
        <v>38</v>
      </c>
      <c r="H16" s="38">
        <f t="shared" si="1"/>
        <v>42.4</v>
      </c>
      <c r="I16" s="38">
        <f t="shared" si="2"/>
        <v>64</v>
      </c>
      <c r="J16" s="38">
        <f t="shared" si="3"/>
        <v>64</v>
      </c>
      <c r="K16" s="38">
        <f t="shared" si="4"/>
        <v>65.45</v>
      </c>
      <c r="L16" s="38">
        <f t="shared" si="5"/>
        <v>63.5</v>
      </c>
    </row>
    <row r="17" spans="1:12">
      <c r="A17" s="69" t="s">
        <v>25</v>
      </c>
      <c r="B17" s="72">
        <v>48</v>
      </c>
      <c r="C17" s="72">
        <v>10</v>
      </c>
      <c r="D17" s="72">
        <v>39</v>
      </c>
      <c r="E17" s="72">
        <v>97</v>
      </c>
      <c r="F17" s="73">
        <v>60</v>
      </c>
      <c r="G17" s="71">
        <v>58</v>
      </c>
      <c r="H17" s="38">
        <f t="shared" si="1"/>
        <v>58.4</v>
      </c>
      <c r="I17" s="38">
        <f t="shared" si="2"/>
        <v>82</v>
      </c>
      <c r="J17" s="38">
        <f t="shared" si="3"/>
        <v>82</v>
      </c>
      <c r="K17" s="38">
        <f t="shared" si="4"/>
        <v>90</v>
      </c>
      <c r="L17" s="38">
        <f t="shared" si="5"/>
        <v>74.93</v>
      </c>
    </row>
    <row r="18" spans="1:12">
      <c r="A18" s="69" t="s">
        <v>26</v>
      </c>
      <c r="B18" s="72">
        <v>48</v>
      </c>
      <c r="C18" s="72">
        <v>10</v>
      </c>
      <c r="D18" s="72">
        <v>40</v>
      </c>
      <c r="E18" s="72">
        <v>98</v>
      </c>
      <c r="F18" s="73">
        <v>60</v>
      </c>
      <c r="G18" s="71">
        <v>84</v>
      </c>
      <c r="H18" s="38">
        <f t="shared" si="1"/>
        <v>79.2</v>
      </c>
      <c r="I18" s="38">
        <f t="shared" si="2"/>
        <v>90</v>
      </c>
      <c r="J18" s="38">
        <f t="shared" si="3"/>
        <v>90</v>
      </c>
      <c r="K18" s="38">
        <f t="shared" si="4"/>
        <v>90</v>
      </c>
      <c r="L18" s="38">
        <f t="shared" si="5"/>
        <v>90.86</v>
      </c>
    </row>
    <row r="19" spans="1:12">
      <c r="A19" s="69" t="s">
        <v>27</v>
      </c>
      <c r="B19" s="72">
        <v>47</v>
      </c>
      <c r="C19" s="72">
        <v>10</v>
      </c>
      <c r="D19" s="72">
        <v>38</v>
      </c>
      <c r="E19" s="72">
        <v>95</v>
      </c>
      <c r="F19" s="74">
        <v>60</v>
      </c>
      <c r="G19" s="71">
        <v>40</v>
      </c>
      <c r="H19" s="38">
        <f t="shared" si="1"/>
        <v>44</v>
      </c>
      <c r="I19" s="38">
        <f t="shared" si="2"/>
        <v>75</v>
      </c>
      <c r="J19" s="38">
        <f t="shared" si="3"/>
        <v>75</v>
      </c>
      <c r="K19" s="38">
        <f t="shared" si="4"/>
        <v>88.64</v>
      </c>
      <c r="L19" s="38">
        <f t="shared" si="5"/>
        <v>63.57</v>
      </c>
    </row>
    <row r="20" spans="1:12">
      <c r="A20" s="69" t="s">
        <v>28</v>
      </c>
      <c r="B20" s="72">
        <v>48</v>
      </c>
      <c r="C20" s="72">
        <v>10</v>
      </c>
      <c r="D20" s="72">
        <v>40</v>
      </c>
      <c r="E20" s="72">
        <v>98</v>
      </c>
      <c r="F20" s="73">
        <v>60</v>
      </c>
      <c r="G20" s="71">
        <v>50</v>
      </c>
      <c r="H20" s="38">
        <f t="shared" si="1"/>
        <v>52</v>
      </c>
      <c r="I20" s="38">
        <f t="shared" si="2"/>
        <v>80</v>
      </c>
      <c r="J20" s="38">
        <f t="shared" si="3"/>
        <v>80</v>
      </c>
      <c r="K20" s="38">
        <f t="shared" si="4"/>
        <v>90</v>
      </c>
      <c r="L20" s="38">
        <f t="shared" si="5"/>
        <v>71.43</v>
      </c>
    </row>
    <row r="21" spans="1:12">
      <c r="A21" s="69" t="s">
        <v>29</v>
      </c>
      <c r="B21" s="72">
        <v>30</v>
      </c>
      <c r="C21" s="72">
        <v>6</v>
      </c>
      <c r="D21" s="72">
        <v>24</v>
      </c>
      <c r="E21" s="72">
        <v>60</v>
      </c>
      <c r="F21" s="70">
        <v>60</v>
      </c>
      <c r="G21" s="71">
        <v>44</v>
      </c>
      <c r="H21" s="56">
        <f t="shared" si="1"/>
        <v>47.2</v>
      </c>
      <c r="I21" s="56">
        <f t="shared" si="2"/>
        <v>55</v>
      </c>
      <c r="J21" s="56">
        <f t="shared" si="3"/>
        <v>55</v>
      </c>
      <c r="K21" s="56">
        <f t="shared" si="4"/>
        <v>60</v>
      </c>
      <c r="L21" s="56">
        <f t="shared" si="5"/>
        <v>50.86</v>
      </c>
    </row>
    <row r="22" spans="1:12">
      <c r="A22" s="69" t="s">
        <v>30</v>
      </c>
      <c r="B22" s="72">
        <v>44</v>
      </c>
      <c r="C22" s="72">
        <v>10</v>
      </c>
      <c r="D22" s="72">
        <v>40</v>
      </c>
      <c r="E22" s="72">
        <v>94</v>
      </c>
      <c r="F22" s="73">
        <v>60</v>
      </c>
      <c r="G22" s="71">
        <v>80</v>
      </c>
      <c r="H22" s="38">
        <f t="shared" si="1"/>
        <v>76</v>
      </c>
      <c r="I22" s="38">
        <f t="shared" si="2"/>
        <v>87</v>
      </c>
      <c r="J22" s="38">
        <f t="shared" si="3"/>
        <v>87</v>
      </c>
      <c r="K22" s="38">
        <f t="shared" si="4"/>
        <v>84.55</v>
      </c>
      <c r="L22" s="38">
        <f t="shared" si="5"/>
        <v>88.57</v>
      </c>
    </row>
    <row r="23" spans="1:12">
      <c r="A23" s="69" t="s">
        <v>31</v>
      </c>
      <c r="B23" s="72">
        <v>40</v>
      </c>
      <c r="C23" s="72">
        <v>10</v>
      </c>
      <c r="D23" s="72">
        <v>40</v>
      </c>
      <c r="E23" s="72">
        <v>90</v>
      </c>
      <c r="F23" s="73">
        <v>60</v>
      </c>
      <c r="G23" s="71">
        <v>72</v>
      </c>
      <c r="H23" s="38">
        <f t="shared" si="1"/>
        <v>69.6</v>
      </c>
      <c r="I23" s="38">
        <f t="shared" si="2"/>
        <v>82</v>
      </c>
      <c r="J23" s="38">
        <f t="shared" si="3"/>
        <v>82</v>
      </c>
      <c r="K23" s="38">
        <f t="shared" si="4"/>
        <v>79.09</v>
      </c>
      <c r="L23" s="38">
        <f t="shared" si="5"/>
        <v>84</v>
      </c>
    </row>
    <row r="24" spans="1:12">
      <c r="A24" s="69" t="s">
        <v>32</v>
      </c>
      <c r="B24" s="72">
        <v>48</v>
      </c>
      <c r="C24" s="72">
        <v>10</v>
      </c>
      <c r="D24" s="72">
        <v>39</v>
      </c>
      <c r="E24" s="72">
        <v>97</v>
      </c>
      <c r="F24" s="73">
        <v>85</v>
      </c>
      <c r="G24" s="71">
        <v>66</v>
      </c>
      <c r="H24" s="38">
        <f t="shared" si="1"/>
        <v>69.8</v>
      </c>
      <c r="I24" s="38">
        <f t="shared" si="2"/>
        <v>86</v>
      </c>
      <c r="J24" s="38">
        <f t="shared" si="3"/>
        <v>86</v>
      </c>
      <c r="K24" s="38">
        <f t="shared" si="4"/>
        <v>94.55</v>
      </c>
      <c r="L24" s="38">
        <f t="shared" si="5"/>
        <v>79.5</v>
      </c>
    </row>
    <row r="25" spans="1:12">
      <c r="A25" s="69" t="s">
        <v>33</v>
      </c>
      <c r="B25" s="72">
        <v>45</v>
      </c>
      <c r="C25" s="72">
        <v>10</v>
      </c>
      <c r="D25" s="72">
        <v>38</v>
      </c>
      <c r="E25" s="72">
        <v>93</v>
      </c>
      <c r="F25" s="73">
        <v>60</v>
      </c>
      <c r="G25" s="71">
        <v>42</v>
      </c>
      <c r="H25" s="38">
        <f t="shared" si="1"/>
        <v>45.6</v>
      </c>
      <c r="I25" s="38">
        <f t="shared" si="2"/>
        <v>74</v>
      </c>
      <c r="J25" s="38">
        <f t="shared" si="3"/>
        <v>74</v>
      </c>
      <c r="K25" s="38">
        <f t="shared" si="4"/>
        <v>85.91</v>
      </c>
      <c r="L25" s="38">
        <f t="shared" si="5"/>
        <v>64.71</v>
      </c>
    </row>
    <row r="26" spans="1:12">
      <c r="A26" s="69" t="s">
        <v>34</v>
      </c>
      <c r="B26" s="72">
        <v>44</v>
      </c>
      <c r="C26" s="72">
        <v>10</v>
      </c>
      <c r="D26" s="72">
        <v>39</v>
      </c>
      <c r="E26" s="72">
        <v>93</v>
      </c>
      <c r="F26" s="73">
        <v>60</v>
      </c>
      <c r="G26" s="71">
        <v>46</v>
      </c>
      <c r="H26" s="38">
        <f t="shared" si="1"/>
        <v>48.8</v>
      </c>
      <c r="I26" s="38">
        <f t="shared" si="2"/>
        <v>75</v>
      </c>
      <c r="J26" s="38">
        <f t="shared" si="3"/>
        <v>75</v>
      </c>
      <c r="K26" s="38">
        <f t="shared" si="4"/>
        <v>84.55</v>
      </c>
      <c r="L26" s="38">
        <f t="shared" si="5"/>
        <v>68.07</v>
      </c>
    </row>
    <row r="27" spans="1:12">
      <c r="A27" s="69" t="s">
        <v>35</v>
      </c>
      <c r="B27" s="72">
        <v>42</v>
      </c>
      <c r="C27" s="72">
        <v>9</v>
      </c>
      <c r="D27" s="72">
        <v>39</v>
      </c>
      <c r="E27" s="72">
        <v>90</v>
      </c>
      <c r="F27" s="73">
        <v>0</v>
      </c>
      <c r="G27" s="71">
        <v>58</v>
      </c>
      <c r="H27" s="38">
        <f t="shared" si="1"/>
        <v>46.4</v>
      </c>
      <c r="I27" s="38">
        <f t="shared" si="2"/>
        <v>73</v>
      </c>
      <c r="J27" s="38">
        <f t="shared" si="3"/>
        <v>73</v>
      </c>
      <c r="K27" s="38">
        <f t="shared" si="4"/>
        <v>69.55</v>
      </c>
      <c r="L27" s="38">
        <f t="shared" si="5"/>
        <v>74.93</v>
      </c>
    </row>
    <row r="28" spans="1:12">
      <c r="A28" s="69" t="s">
        <v>36</v>
      </c>
      <c r="B28" s="72">
        <v>49</v>
      </c>
      <c r="C28" s="72">
        <v>10</v>
      </c>
      <c r="D28" s="72">
        <v>37</v>
      </c>
      <c r="E28" s="72">
        <v>96</v>
      </c>
      <c r="F28" s="73">
        <v>60</v>
      </c>
      <c r="G28" s="71">
        <v>48</v>
      </c>
      <c r="H28" s="38">
        <f t="shared" si="1"/>
        <v>50.4</v>
      </c>
      <c r="I28" s="38">
        <f t="shared" si="2"/>
        <v>78</v>
      </c>
      <c r="J28" s="38">
        <f t="shared" si="3"/>
        <v>78</v>
      </c>
      <c r="K28" s="38">
        <f t="shared" si="4"/>
        <v>91.36</v>
      </c>
      <c r="L28" s="38">
        <f t="shared" si="5"/>
        <v>67.07</v>
      </c>
    </row>
    <row r="29" spans="1:12">
      <c r="A29" s="69" t="s">
        <v>37</v>
      </c>
      <c r="B29" s="72">
        <v>36</v>
      </c>
      <c r="C29" s="72">
        <v>4</v>
      </c>
      <c r="D29" s="72">
        <v>32</v>
      </c>
      <c r="E29" s="72">
        <v>72</v>
      </c>
      <c r="F29" s="73">
        <v>80</v>
      </c>
      <c r="G29" s="71">
        <v>54</v>
      </c>
      <c r="H29" s="38">
        <f t="shared" si="1"/>
        <v>59.2</v>
      </c>
      <c r="I29" s="38">
        <f t="shared" si="2"/>
        <v>67</v>
      </c>
      <c r="J29" s="38">
        <f t="shared" si="3"/>
        <v>67</v>
      </c>
      <c r="K29" s="38">
        <f t="shared" si="4"/>
        <v>69.09</v>
      </c>
      <c r="L29" s="38">
        <f t="shared" si="5"/>
        <v>65.14</v>
      </c>
    </row>
    <row r="30" spans="1:12">
      <c r="A30" s="69" t="s">
        <v>38</v>
      </c>
      <c r="B30" s="72">
        <v>40</v>
      </c>
      <c r="C30" s="72">
        <v>8</v>
      </c>
      <c r="D30" s="72">
        <v>36</v>
      </c>
      <c r="E30" s="72">
        <v>84</v>
      </c>
      <c r="F30" s="73">
        <v>80</v>
      </c>
      <c r="G30" s="71">
        <v>54</v>
      </c>
      <c r="H30" s="38">
        <f t="shared" si="1"/>
        <v>59.2</v>
      </c>
      <c r="I30" s="38">
        <f t="shared" si="2"/>
        <v>74</v>
      </c>
      <c r="J30" s="38">
        <f t="shared" si="3"/>
        <v>74</v>
      </c>
      <c r="K30" s="38">
        <f t="shared" si="4"/>
        <v>80</v>
      </c>
      <c r="L30" s="38">
        <f t="shared" si="5"/>
        <v>69.43</v>
      </c>
    </row>
    <row r="31" spans="1:12">
      <c r="A31" s="69" t="s">
        <v>39</v>
      </c>
      <c r="B31" s="72">
        <v>32</v>
      </c>
      <c r="C31" s="72">
        <v>6</v>
      </c>
      <c r="D31" s="72">
        <v>39</v>
      </c>
      <c r="E31" s="72">
        <v>77</v>
      </c>
      <c r="F31" s="73">
        <v>60</v>
      </c>
      <c r="G31" s="71">
        <v>38</v>
      </c>
      <c r="H31" s="38">
        <f t="shared" si="1"/>
        <v>42.4</v>
      </c>
      <c r="I31" s="38">
        <f t="shared" si="2"/>
        <v>63</v>
      </c>
      <c r="J31" s="38">
        <f t="shared" si="3"/>
        <v>63</v>
      </c>
      <c r="K31" s="38">
        <f t="shared" si="4"/>
        <v>62.73</v>
      </c>
      <c r="L31" s="38">
        <f t="shared" si="5"/>
        <v>63.5</v>
      </c>
    </row>
    <row r="32" spans="1:12">
      <c r="A32" s="69" t="s">
        <v>40</v>
      </c>
      <c r="B32" s="72">
        <v>27</v>
      </c>
      <c r="C32" s="72">
        <v>1</v>
      </c>
      <c r="D32" s="72">
        <v>37</v>
      </c>
      <c r="E32" s="72">
        <v>65</v>
      </c>
      <c r="F32" s="70">
        <v>85</v>
      </c>
      <c r="G32" s="71">
        <v>34</v>
      </c>
      <c r="H32" s="56">
        <f t="shared" si="1"/>
        <v>44.2</v>
      </c>
      <c r="I32" s="56">
        <f t="shared" si="2"/>
        <v>57</v>
      </c>
      <c r="J32" s="56">
        <f t="shared" si="3"/>
        <v>57</v>
      </c>
      <c r="K32" s="56">
        <f t="shared" si="4"/>
        <v>53.64</v>
      </c>
      <c r="L32" s="56">
        <f t="shared" si="5"/>
        <v>59.07</v>
      </c>
    </row>
    <row r="33" spans="1:12">
      <c r="A33" s="69" t="s">
        <v>41</v>
      </c>
      <c r="B33" s="72">
        <v>46</v>
      </c>
      <c r="C33" s="72">
        <v>10</v>
      </c>
      <c r="D33" s="72">
        <v>38</v>
      </c>
      <c r="E33" s="72">
        <v>94</v>
      </c>
      <c r="F33" s="73">
        <v>60</v>
      </c>
      <c r="G33" s="71">
        <v>60</v>
      </c>
      <c r="H33" s="38">
        <f t="shared" si="1"/>
        <v>60</v>
      </c>
      <c r="I33" s="38">
        <f t="shared" si="2"/>
        <v>80</v>
      </c>
      <c r="J33" s="38">
        <f t="shared" si="3"/>
        <v>80</v>
      </c>
      <c r="K33" s="38">
        <f t="shared" si="4"/>
        <v>87.27</v>
      </c>
      <c r="L33" s="38">
        <f t="shared" si="5"/>
        <v>75</v>
      </c>
    </row>
    <row r="34" spans="1:12">
      <c r="A34" s="69" t="s">
        <v>42</v>
      </c>
      <c r="B34" s="72">
        <v>44</v>
      </c>
      <c r="C34" s="72">
        <v>10</v>
      </c>
      <c r="D34" s="72">
        <v>38</v>
      </c>
      <c r="E34" s="72">
        <v>92</v>
      </c>
      <c r="F34" s="73">
        <v>85</v>
      </c>
      <c r="G34" s="71">
        <v>68</v>
      </c>
      <c r="H34" s="38">
        <f t="shared" si="1"/>
        <v>71.4</v>
      </c>
      <c r="I34" s="38">
        <f t="shared" si="2"/>
        <v>84</v>
      </c>
      <c r="J34" s="38">
        <f t="shared" si="3"/>
        <v>84</v>
      </c>
      <c r="K34" s="38">
        <f t="shared" si="4"/>
        <v>89.09</v>
      </c>
      <c r="L34" s="38">
        <f t="shared" si="5"/>
        <v>79.57</v>
      </c>
    </row>
    <row r="35" spans="1:12">
      <c r="A35" s="69" t="s">
        <v>43</v>
      </c>
      <c r="B35" s="72">
        <v>46</v>
      </c>
      <c r="C35" s="72">
        <v>10</v>
      </c>
      <c r="D35" s="72">
        <v>40</v>
      </c>
      <c r="E35" s="72">
        <v>96</v>
      </c>
      <c r="F35" s="73">
        <v>85</v>
      </c>
      <c r="G35" s="71">
        <v>46</v>
      </c>
      <c r="H35" s="38">
        <f t="shared" si="1"/>
        <v>53.8</v>
      </c>
      <c r="I35" s="38">
        <f t="shared" si="2"/>
        <v>79</v>
      </c>
      <c r="J35" s="38">
        <f t="shared" si="3"/>
        <v>79</v>
      </c>
      <c r="K35" s="38">
        <f t="shared" si="4"/>
        <v>91.82</v>
      </c>
      <c r="L35" s="38">
        <f t="shared" si="5"/>
        <v>69.14</v>
      </c>
    </row>
    <row r="36" spans="1:12">
      <c r="A36" s="69" t="s">
        <v>44</v>
      </c>
      <c r="B36" s="72">
        <v>49</v>
      </c>
      <c r="C36" s="72">
        <v>10</v>
      </c>
      <c r="D36" s="72">
        <v>39</v>
      </c>
      <c r="E36" s="72">
        <v>98</v>
      </c>
      <c r="F36" s="73">
        <v>85</v>
      </c>
      <c r="G36" s="71">
        <v>66</v>
      </c>
      <c r="H36" s="38">
        <f t="shared" si="1"/>
        <v>69.8</v>
      </c>
      <c r="I36" s="38">
        <f t="shared" si="2"/>
        <v>87</v>
      </c>
      <c r="J36" s="38">
        <f t="shared" si="3"/>
        <v>87</v>
      </c>
      <c r="K36" s="38">
        <f t="shared" si="4"/>
        <v>95.91</v>
      </c>
      <c r="L36" s="38">
        <f t="shared" si="5"/>
        <v>79.5</v>
      </c>
    </row>
    <row r="37" spans="1:12">
      <c r="A37" s="69" t="s">
        <v>45</v>
      </c>
      <c r="B37" s="72">
        <v>45</v>
      </c>
      <c r="C37" s="72">
        <v>10</v>
      </c>
      <c r="D37" s="72">
        <v>38</v>
      </c>
      <c r="E37" s="72">
        <v>93</v>
      </c>
      <c r="F37" s="73">
        <v>85</v>
      </c>
      <c r="G37" s="71">
        <v>60</v>
      </c>
      <c r="H37" s="38">
        <f t="shared" si="1"/>
        <v>65</v>
      </c>
      <c r="I37" s="38">
        <f t="shared" si="2"/>
        <v>82</v>
      </c>
      <c r="J37" s="38">
        <f t="shared" si="3"/>
        <v>82</v>
      </c>
      <c r="K37" s="38">
        <f t="shared" si="4"/>
        <v>90.45</v>
      </c>
      <c r="L37" s="38">
        <f t="shared" si="5"/>
        <v>75</v>
      </c>
    </row>
    <row r="38" spans="1:12">
      <c r="A38" s="69" t="s">
        <v>46</v>
      </c>
      <c r="B38" s="73">
        <v>45</v>
      </c>
      <c r="C38" s="73">
        <v>10</v>
      </c>
      <c r="D38" s="73">
        <v>39</v>
      </c>
      <c r="E38" s="71">
        <v>94</v>
      </c>
      <c r="F38" s="73">
        <v>60</v>
      </c>
      <c r="G38" s="71">
        <v>34</v>
      </c>
      <c r="H38" s="38">
        <f t="shared" si="1"/>
        <v>39.2</v>
      </c>
      <c r="I38" s="38">
        <f t="shared" si="2"/>
        <v>72</v>
      </c>
      <c r="J38" s="38">
        <f t="shared" si="3"/>
        <v>72</v>
      </c>
      <c r="K38" s="38">
        <f t="shared" si="4"/>
        <v>85.91</v>
      </c>
      <c r="L38" s="38">
        <f t="shared" si="5"/>
        <v>61.21</v>
      </c>
    </row>
    <row r="39" spans="1:12">
      <c r="A39" s="69" t="s">
        <v>47</v>
      </c>
      <c r="B39" s="73">
        <v>42</v>
      </c>
      <c r="C39" s="73">
        <v>9</v>
      </c>
      <c r="D39" s="73">
        <v>38</v>
      </c>
      <c r="E39" s="71">
        <v>89</v>
      </c>
      <c r="F39" s="73">
        <v>60</v>
      </c>
      <c r="G39" s="71">
        <v>62</v>
      </c>
      <c r="H39" s="38">
        <f t="shared" si="1"/>
        <v>61.6</v>
      </c>
      <c r="I39" s="38">
        <f t="shared" si="2"/>
        <v>78</v>
      </c>
      <c r="J39" s="38">
        <f t="shared" si="3"/>
        <v>78</v>
      </c>
      <c r="K39" s="38">
        <f t="shared" si="4"/>
        <v>80.45</v>
      </c>
      <c r="L39" s="38">
        <f t="shared" si="5"/>
        <v>76.14</v>
      </c>
    </row>
    <row r="40" spans="1:12">
      <c r="A40" s="69" t="s">
        <v>48</v>
      </c>
      <c r="B40" s="73">
        <v>46</v>
      </c>
      <c r="C40" s="73">
        <v>9</v>
      </c>
      <c r="D40" s="73">
        <v>38</v>
      </c>
      <c r="E40" s="71">
        <v>93</v>
      </c>
      <c r="F40" s="73">
        <v>60</v>
      </c>
      <c r="G40" s="71">
        <v>70</v>
      </c>
      <c r="H40" s="38">
        <f t="shared" si="1"/>
        <v>68</v>
      </c>
      <c r="I40" s="38">
        <f t="shared" si="2"/>
        <v>83</v>
      </c>
      <c r="J40" s="38">
        <f t="shared" si="3"/>
        <v>83</v>
      </c>
      <c r="K40" s="38">
        <f t="shared" si="4"/>
        <v>85.91</v>
      </c>
      <c r="L40" s="38">
        <f t="shared" si="5"/>
        <v>80.71</v>
      </c>
    </row>
    <row r="41" spans="1:12">
      <c r="A41" s="69" t="s">
        <v>49</v>
      </c>
      <c r="B41" s="73">
        <v>49</v>
      </c>
      <c r="C41" s="73">
        <v>10</v>
      </c>
      <c r="D41" s="73">
        <v>40</v>
      </c>
      <c r="E41" s="71">
        <v>99</v>
      </c>
      <c r="F41" s="73">
        <v>60</v>
      </c>
      <c r="G41" s="71">
        <v>68</v>
      </c>
      <c r="H41" s="38">
        <f t="shared" si="1"/>
        <v>66.4</v>
      </c>
      <c r="I41" s="38">
        <f t="shared" si="2"/>
        <v>86</v>
      </c>
      <c r="J41" s="38">
        <f t="shared" si="3"/>
        <v>86</v>
      </c>
      <c r="K41" s="38">
        <f t="shared" si="4"/>
        <v>91.36</v>
      </c>
      <c r="L41" s="38">
        <f t="shared" si="5"/>
        <v>81.71</v>
      </c>
    </row>
    <row r="42" spans="1:12">
      <c r="A42" s="69" t="s">
        <v>50</v>
      </c>
      <c r="B42" s="73">
        <v>37</v>
      </c>
      <c r="C42" s="73">
        <v>9</v>
      </c>
      <c r="D42" s="73">
        <v>40</v>
      </c>
      <c r="E42" s="71">
        <v>86</v>
      </c>
      <c r="F42" s="73">
        <v>60</v>
      </c>
      <c r="G42" s="71">
        <v>54</v>
      </c>
      <c r="H42" s="38">
        <f t="shared" si="1"/>
        <v>55.2</v>
      </c>
      <c r="I42" s="38">
        <f t="shared" si="2"/>
        <v>74</v>
      </c>
      <c r="J42" s="38">
        <f t="shared" si="3"/>
        <v>74</v>
      </c>
      <c r="K42" s="38">
        <f t="shared" si="4"/>
        <v>73.64</v>
      </c>
      <c r="L42" s="38">
        <f t="shared" si="5"/>
        <v>73.71</v>
      </c>
    </row>
    <row r="43" spans="1:12">
      <c r="A43" s="69" t="s">
        <v>51</v>
      </c>
      <c r="B43" s="73">
        <v>49</v>
      </c>
      <c r="C43" s="73">
        <v>9</v>
      </c>
      <c r="D43" s="73">
        <v>39</v>
      </c>
      <c r="E43" s="71">
        <v>97</v>
      </c>
      <c r="F43" s="73">
        <v>60</v>
      </c>
      <c r="G43" s="71">
        <v>86</v>
      </c>
      <c r="H43" s="38">
        <f t="shared" si="1"/>
        <v>80.8</v>
      </c>
      <c r="I43" s="38">
        <f t="shared" si="2"/>
        <v>91</v>
      </c>
      <c r="J43" s="38">
        <f t="shared" si="3"/>
        <v>91</v>
      </c>
      <c r="K43" s="38">
        <f t="shared" si="4"/>
        <v>90</v>
      </c>
      <c r="L43" s="38">
        <f t="shared" si="5"/>
        <v>90.93</v>
      </c>
    </row>
    <row r="44" spans="1:12">
      <c r="A44" s="69" t="s">
        <v>52</v>
      </c>
      <c r="B44" s="73">
        <v>40</v>
      </c>
      <c r="C44" s="73">
        <v>8</v>
      </c>
      <c r="D44" s="73">
        <v>37</v>
      </c>
      <c r="E44" s="71">
        <v>85</v>
      </c>
      <c r="F44" s="73">
        <v>60</v>
      </c>
      <c r="G44" s="71">
        <v>36</v>
      </c>
      <c r="H44" s="38">
        <f t="shared" si="1"/>
        <v>40.8</v>
      </c>
      <c r="I44" s="38">
        <f t="shared" si="2"/>
        <v>67</v>
      </c>
      <c r="J44" s="38">
        <f t="shared" si="3"/>
        <v>67</v>
      </c>
      <c r="K44" s="38">
        <f t="shared" si="4"/>
        <v>76.36</v>
      </c>
      <c r="L44" s="38">
        <f t="shared" si="5"/>
        <v>60.21</v>
      </c>
    </row>
    <row r="45" spans="1:12">
      <c r="A45" s="69" t="s">
        <v>53</v>
      </c>
      <c r="B45" s="73">
        <v>46</v>
      </c>
      <c r="C45" s="73">
        <v>10</v>
      </c>
      <c r="D45" s="73">
        <v>38</v>
      </c>
      <c r="E45" s="71">
        <v>94</v>
      </c>
      <c r="F45" s="73">
        <v>60</v>
      </c>
      <c r="G45" s="71">
        <v>22</v>
      </c>
      <c r="H45" s="38">
        <f t="shared" si="1"/>
        <v>29.6</v>
      </c>
      <c r="I45" s="38">
        <f t="shared" si="2"/>
        <v>68</v>
      </c>
      <c r="J45" s="38">
        <f t="shared" si="3"/>
        <v>68</v>
      </c>
      <c r="K45" s="38">
        <f t="shared" si="4"/>
        <v>87.27</v>
      </c>
      <c r="L45" s="38">
        <f t="shared" si="5"/>
        <v>53.29</v>
      </c>
    </row>
    <row r="46" spans="1:12">
      <c r="A46" s="69" t="s">
        <v>54</v>
      </c>
      <c r="B46" s="73">
        <v>46</v>
      </c>
      <c r="C46" s="73">
        <v>10</v>
      </c>
      <c r="D46" s="73">
        <v>38</v>
      </c>
      <c r="E46" s="71">
        <v>94</v>
      </c>
      <c r="F46" s="73">
        <v>60</v>
      </c>
      <c r="G46" s="71">
        <v>54</v>
      </c>
      <c r="H46" s="38">
        <f t="shared" si="1"/>
        <v>55.2</v>
      </c>
      <c r="I46" s="38">
        <f t="shared" si="2"/>
        <v>78</v>
      </c>
      <c r="J46" s="38">
        <f t="shared" si="3"/>
        <v>78</v>
      </c>
      <c r="K46" s="38">
        <f t="shared" si="4"/>
        <v>87.27</v>
      </c>
      <c r="L46" s="38">
        <f t="shared" si="5"/>
        <v>71.57</v>
      </c>
    </row>
    <row r="47" spans="1:12">
      <c r="A47" s="69" t="s">
        <v>55</v>
      </c>
      <c r="B47" s="73">
        <v>49</v>
      </c>
      <c r="C47" s="73">
        <v>10</v>
      </c>
      <c r="D47" s="73">
        <v>38</v>
      </c>
      <c r="E47" s="71">
        <v>97</v>
      </c>
      <c r="F47" s="73">
        <v>60</v>
      </c>
      <c r="G47" s="71">
        <v>86</v>
      </c>
      <c r="H47" s="38">
        <f t="shared" si="1"/>
        <v>80.8</v>
      </c>
      <c r="I47" s="38">
        <f t="shared" si="2"/>
        <v>91</v>
      </c>
      <c r="J47" s="38">
        <f t="shared" si="3"/>
        <v>91</v>
      </c>
      <c r="K47" s="38">
        <f t="shared" si="4"/>
        <v>91.36</v>
      </c>
      <c r="L47" s="38">
        <f t="shared" si="5"/>
        <v>89.86</v>
      </c>
    </row>
    <row r="48" spans="1:12">
      <c r="A48" s="69" t="s">
        <v>56</v>
      </c>
      <c r="B48" s="73">
        <v>43</v>
      </c>
      <c r="C48" s="73">
        <v>10</v>
      </c>
      <c r="D48" s="73">
        <v>38</v>
      </c>
      <c r="E48" s="71">
        <v>91</v>
      </c>
      <c r="F48" s="73">
        <v>60</v>
      </c>
      <c r="G48" s="71">
        <v>52</v>
      </c>
      <c r="H48" s="38">
        <f t="shared" si="1"/>
        <v>53.6</v>
      </c>
      <c r="I48" s="38">
        <f t="shared" si="2"/>
        <v>76</v>
      </c>
      <c r="J48" s="38">
        <f t="shared" si="3"/>
        <v>76</v>
      </c>
      <c r="K48" s="38">
        <f t="shared" si="4"/>
        <v>83.18</v>
      </c>
      <c r="L48" s="38">
        <f t="shared" si="5"/>
        <v>70.43</v>
      </c>
    </row>
    <row r="49" spans="1:12">
      <c r="A49" s="69" t="s">
        <v>57</v>
      </c>
      <c r="B49" s="73">
        <v>41</v>
      </c>
      <c r="C49" s="73">
        <v>10</v>
      </c>
      <c r="D49" s="73">
        <v>39</v>
      </c>
      <c r="E49" s="71">
        <v>90</v>
      </c>
      <c r="F49" s="73">
        <v>60</v>
      </c>
      <c r="G49" s="71">
        <v>50</v>
      </c>
      <c r="H49" s="38">
        <f t="shared" si="1"/>
        <v>52</v>
      </c>
      <c r="I49" s="38">
        <f t="shared" si="2"/>
        <v>75</v>
      </c>
      <c r="J49" s="38">
        <f t="shared" si="3"/>
        <v>75</v>
      </c>
      <c r="K49" s="38">
        <f t="shared" si="4"/>
        <v>80.45</v>
      </c>
      <c r="L49" s="38">
        <f t="shared" si="5"/>
        <v>70.36</v>
      </c>
    </row>
    <row r="50" spans="1:12">
      <c r="A50" s="69" t="s">
        <v>58</v>
      </c>
      <c r="B50" s="73">
        <v>42</v>
      </c>
      <c r="C50" s="73">
        <v>10</v>
      </c>
      <c r="D50" s="73">
        <v>39</v>
      </c>
      <c r="E50" s="71">
        <v>91</v>
      </c>
      <c r="F50" s="73">
        <v>60</v>
      </c>
      <c r="G50" s="71">
        <v>48</v>
      </c>
      <c r="H50" s="38">
        <f t="shared" si="1"/>
        <v>50.4</v>
      </c>
      <c r="I50" s="38">
        <f t="shared" si="2"/>
        <v>75</v>
      </c>
      <c r="J50" s="38">
        <f t="shared" si="3"/>
        <v>75</v>
      </c>
      <c r="K50" s="38">
        <f t="shared" si="4"/>
        <v>81.82</v>
      </c>
      <c r="L50" s="38">
        <f t="shared" si="5"/>
        <v>69.21</v>
      </c>
    </row>
    <row r="51" spans="1:12">
      <c r="A51" s="69" t="s">
        <v>59</v>
      </c>
      <c r="B51" s="73">
        <v>40</v>
      </c>
      <c r="C51" s="73">
        <v>10</v>
      </c>
      <c r="D51" s="73">
        <v>40</v>
      </c>
      <c r="E51" s="71">
        <v>90</v>
      </c>
      <c r="F51" s="73">
        <v>60</v>
      </c>
      <c r="G51" s="71">
        <v>44</v>
      </c>
      <c r="H51" s="38">
        <f t="shared" si="1"/>
        <v>47.2</v>
      </c>
      <c r="I51" s="38">
        <f t="shared" si="2"/>
        <v>73</v>
      </c>
      <c r="J51" s="38">
        <f t="shared" si="3"/>
        <v>73</v>
      </c>
      <c r="K51" s="38">
        <f t="shared" si="4"/>
        <v>79.09</v>
      </c>
      <c r="L51" s="38">
        <f t="shared" si="5"/>
        <v>68</v>
      </c>
    </row>
    <row r="52" spans="1:12">
      <c r="A52" s="69" t="s">
        <v>60</v>
      </c>
      <c r="B52" s="73">
        <v>41</v>
      </c>
      <c r="C52" s="73">
        <v>9</v>
      </c>
      <c r="D52" s="73">
        <v>38</v>
      </c>
      <c r="E52" s="71">
        <v>88</v>
      </c>
      <c r="F52" s="73">
        <v>70</v>
      </c>
      <c r="G52" s="71">
        <v>66</v>
      </c>
      <c r="H52" s="38">
        <f t="shared" si="1"/>
        <v>66.8</v>
      </c>
      <c r="I52" s="38">
        <f t="shared" si="2"/>
        <v>80</v>
      </c>
      <c r="J52" s="38">
        <f t="shared" si="3"/>
        <v>80</v>
      </c>
      <c r="K52" s="38">
        <f t="shared" si="4"/>
        <v>80.91</v>
      </c>
      <c r="L52" s="38">
        <f t="shared" si="5"/>
        <v>78.43</v>
      </c>
    </row>
    <row r="53" spans="1:12">
      <c r="A53" s="69" t="s">
        <v>61</v>
      </c>
      <c r="B53" s="73">
        <v>37</v>
      </c>
      <c r="C53" s="73">
        <v>10</v>
      </c>
      <c r="D53" s="73">
        <v>32</v>
      </c>
      <c r="E53" s="71">
        <v>79</v>
      </c>
      <c r="F53" s="73">
        <v>50</v>
      </c>
      <c r="G53" s="71">
        <v>32</v>
      </c>
      <c r="H53" s="38">
        <f t="shared" si="1"/>
        <v>35.6</v>
      </c>
      <c r="I53" s="38">
        <f t="shared" si="2"/>
        <v>62</v>
      </c>
      <c r="J53" s="38">
        <f t="shared" si="3"/>
        <v>62</v>
      </c>
      <c r="K53" s="38">
        <f t="shared" si="4"/>
        <v>73.18</v>
      </c>
      <c r="L53" s="38">
        <f t="shared" si="5"/>
        <v>52.57</v>
      </c>
    </row>
    <row r="54" spans="1:12">
      <c r="A54" s="69" t="s">
        <v>62</v>
      </c>
      <c r="B54" s="73">
        <v>40</v>
      </c>
      <c r="C54" s="73">
        <v>10</v>
      </c>
      <c r="D54" s="73">
        <v>38</v>
      </c>
      <c r="E54" s="71">
        <v>88</v>
      </c>
      <c r="F54" s="73">
        <v>60</v>
      </c>
      <c r="G54" s="71">
        <v>40</v>
      </c>
      <c r="H54" s="38">
        <f t="shared" si="1"/>
        <v>44</v>
      </c>
      <c r="I54" s="38">
        <f t="shared" si="2"/>
        <v>70</v>
      </c>
      <c r="J54" s="38">
        <f t="shared" si="3"/>
        <v>70</v>
      </c>
      <c r="K54" s="38">
        <f t="shared" si="4"/>
        <v>79.09</v>
      </c>
      <c r="L54" s="38">
        <f t="shared" si="5"/>
        <v>63.57</v>
      </c>
    </row>
    <row r="55" spans="1:12">
      <c r="A55" s="69" t="s">
        <v>63</v>
      </c>
      <c r="B55" s="73">
        <v>43</v>
      </c>
      <c r="C55" s="73">
        <v>10</v>
      </c>
      <c r="D55" s="73">
        <v>38</v>
      </c>
      <c r="E55" s="71">
        <v>91</v>
      </c>
      <c r="F55" s="73">
        <v>60</v>
      </c>
      <c r="G55" s="71">
        <v>74</v>
      </c>
      <c r="H55" s="38">
        <f t="shared" si="1"/>
        <v>71.2</v>
      </c>
      <c r="I55" s="38">
        <f t="shared" si="2"/>
        <v>83</v>
      </c>
      <c r="J55" s="38">
        <f t="shared" si="3"/>
        <v>83</v>
      </c>
      <c r="K55" s="38">
        <f t="shared" si="4"/>
        <v>83.18</v>
      </c>
      <c r="L55" s="38">
        <f t="shared" si="5"/>
        <v>83</v>
      </c>
    </row>
    <row r="56" spans="1:12">
      <c r="A56" s="69" t="s">
        <v>64</v>
      </c>
      <c r="B56" s="73">
        <v>41</v>
      </c>
      <c r="C56" s="73">
        <v>10</v>
      </c>
      <c r="D56" s="73">
        <v>40</v>
      </c>
      <c r="E56" s="71">
        <v>91</v>
      </c>
      <c r="F56" s="73">
        <v>60</v>
      </c>
      <c r="G56" s="71">
        <v>88</v>
      </c>
      <c r="H56" s="38">
        <f t="shared" si="1"/>
        <v>82.4</v>
      </c>
      <c r="I56" s="38">
        <f t="shared" si="2"/>
        <v>88</v>
      </c>
      <c r="J56" s="38">
        <f t="shared" si="3"/>
        <v>88</v>
      </c>
      <c r="K56" s="38">
        <f t="shared" si="4"/>
        <v>80.45</v>
      </c>
      <c r="L56" s="38">
        <f t="shared" si="5"/>
        <v>93.14</v>
      </c>
    </row>
    <row r="57" spans="1:12">
      <c r="A57" s="69" t="s">
        <v>65</v>
      </c>
      <c r="B57" s="73">
        <v>41</v>
      </c>
      <c r="C57" s="73">
        <v>10</v>
      </c>
      <c r="D57" s="73">
        <v>39</v>
      </c>
      <c r="E57" s="71">
        <v>90</v>
      </c>
      <c r="F57" s="73">
        <v>60</v>
      </c>
      <c r="G57" s="71">
        <v>54</v>
      </c>
      <c r="H57" s="38">
        <f t="shared" si="1"/>
        <v>55.2</v>
      </c>
      <c r="I57" s="38">
        <f t="shared" si="2"/>
        <v>76</v>
      </c>
      <c r="J57" s="38">
        <f t="shared" si="3"/>
        <v>76</v>
      </c>
      <c r="K57" s="38">
        <f t="shared" si="4"/>
        <v>80.45</v>
      </c>
      <c r="L57" s="38">
        <f t="shared" si="5"/>
        <v>72.64</v>
      </c>
    </row>
    <row r="58" spans="1:12">
      <c r="A58" s="69" t="s">
        <v>66</v>
      </c>
      <c r="B58" s="73">
        <v>40</v>
      </c>
      <c r="C58" s="73">
        <v>9</v>
      </c>
      <c r="D58" s="73">
        <v>38</v>
      </c>
      <c r="E58" s="71">
        <v>87</v>
      </c>
      <c r="F58" s="73">
        <v>60</v>
      </c>
      <c r="G58" s="71">
        <v>68</v>
      </c>
      <c r="H58" s="38">
        <f t="shared" si="1"/>
        <v>66.4</v>
      </c>
      <c r="I58" s="38">
        <f t="shared" si="2"/>
        <v>79</v>
      </c>
      <c r="J58" s="38">
        <f t="shared" si="3"/>
        <v>79</v>
      </c>
      <c r="K58" s="38">
        <f t="shared" si="4"/>
        <v>77.73</v>
      </c>
      <c r="L58" s="38">
        <f t="shared" si="5"/>
        <v>79.57</v>
      </c>
    </row>
    <row r="59" spans="1:12">
      <c r="A59" s="69" t="s">
        <v>67</v>
      </c>
      <c r="B59" s="73">
        <v>36</v>
      </c>
      <c r="C59" s="73">
        <v>9</v>
      </c>
      <c r="D59" s="73">
        <v>39</v>
      </c>
      <c r="E59" s="71">
        <v>84</v>
      </c>
      <c r="F59" s="73">
        <v>60</v>
      </c>
      <c r="G59" s="71">
        <v>60</v>
      </c>
      <c r="H59" s="38">
        <f t="shared" si="1"/>
        <v>60</v>
      </c>
      <c r="I59" s="38">
        <f t="shared" si="2"/>
        <v>74</v>
      </c>
      <c r="J59" s="38">
        <f t="shared" si="3"/>
        <v>74</v>
      </c>
      <c r="K59" s="38">
        <f t="shared" si="4"/>
        <v>72.27</v>
      </c>
      <c r="L59" s="38">
        <f t="shared" si="5"/>
        <v>76.07</v>
      </c>
    </row>
    <row r="60" spans="1:12">
      <c r="A60" s="69" t="s">
        <v>68</v>
      </c>
      <c r="B60" s="73">
        <v>44</v>
      </c>
      <c r="C60" s="73">
        <v>7</v>
      </c>
      <c r="D60" s="73">
        <v>34</v>
      </c>
      <c r="E60" s="71">
        <v>85</v>
      </c>
      <c r="F60" s="73">
        <v>60</v>
      </c>
      <c r="G60" s="71">
        <v>38</v>
      </c>
      <c r="H60" s="38">
        <f t="shared" si="1"/>
        <v>42.4</v>
      </c>
      <c r="I60" s="38">
        <f t="shared" si="2"/>
        <v>68</v>
      </c>
      <c r="J60" s="38">
        <f t="shared" si="3"/>
        <v>68</v>
      </c>
      <c r="K60" s="38">
        <f t="shared" si="4"/>
        <v>80.45</v>
      </c>
      <c r="L60" s="38">
        <f t="shared" si="5"/>
        <v>58.14</v>
      </c>
    </row>
    <row r="61" spans="1:12">
      <c r="A61" s="69" t="s">
        <v>69</v>
      </c>
      <c r="B61" s="73">
        <v>42</v>
      </c>
      <c r="C61" s="73">
        <v>9</v>
      </c>
      <c r="D61" s="73">
        <v>40</v>
      </c>
      <c r="E61" s="71">
        <v>91</v>
      </c>
      <c r="F61" s="73">
        <v>85</v>
      </c>
      <c r="G61" s="71">
        <v>30</v>
      </c>
      <c r="H61" s="38">
        <f t="shared" si="1"/>
        <v>41</v>
      </c>
      <c r="I61" s="38">
        <f t="shared" si="2"/>
        <v>71</v>
      </c>
      <c r="J61" s="38">
        <f t="shared" si="3"/>
        <v>71</v>
      </c>
      <c r="K61" s="38">
        <f t="shared" si="4"/>
        <v>85</v>
      </c>
      <c r="L61" s="38">
        <f t="shared" si="5"/>
        <v>60</v>
      </c>
    </row>
    <row r="62" spans="1:12">
      <c r="A62" s="69" t="s">
        <v>70</v>
      </c>
      <c r="B62" s="73">
        <v>40</v>
      </c>
      <c r="C62" s="73">
        <v>10</v>
      </c>
      <c r="D62" s="73">
        <v>39</v>
      </c>
      <c r="E62" s="71">
        <v>89</v>
      </c>
      <c r="F62" s="73">
        <v>60</v>
      </c>
      <c r="G62" s="71">
        <v>60</v>
      </c>
      <c r="H62" s="38">
        <f t="shared" si="1"/>
        <v>60</v>
      </c>
      <c r="I62" s="38">
        <f t="shared" si="2"/>
        <v>77</v>
      </c>
      <c r="J62" s="38">
        <f t="shared" si="3"/>
        <v>77</v>
      </c>
      <c r="K62" s="38">
        <f t="shared" si="4"/>
        <v>79.09</v>
      </c>
      <c r="L62" s="38">
        <f t="shared" si="5"/>
        <v>76.07</v>
      </c>
    </row>
    <row r="63" spans="1:12">
      <c r="A63" s="69" t="s">
        <v>71</v>
      </c>
      <c r="B63" s="73">
        <v>42</v>
      </c>
      <c r="C63" s="73">
        <v>10</v>
      </c>
      <c r="D63" s="73">
        <v>38</v>
      </c>
      <c r="E63" s="71">
        <v>90</v>
      </c>
      <c r="F63" s="74">
        <v>60</v>
      </c>
      <c r="G63" s="71">
        <v>78</v>
      </c>
      <c r="H63" s="38">
        <f t="shared" si="1"/>
        <v>74.4</v>
      </c>
      <c r="I63" s="38">
        <f t="shared" si="2"/>
        <v>84</v>
      </c>
      <c r="J63" s="38">
        <f t="shared" si="3"/>
        <v>84</v>
      </c>
      <c r="K63" s="38">
        <f t="shared" si="4"/>
        <v>81.82</v>
      </c>
      <c r="L63" s="38">
        <f t="shared" si="5"/>
        <v>85.29</v>
      </c>
    </row>
    <row r="64" spans="1:12">
      <c r="A64" s="69" t="s">
        <v>72</v>
      </c>
      <c r="B64" s="73">
        <v>39</v>
      </c>
      <c r="C64" s="73">
        <v>9</v>
      </c>
      <c r="D64" s="73">
        <v>40</v>
      </c>
      <c r="E64" s="71">
        <v>88</v>
      </c>
      <c r="F64" s="73">
        <v>85</v>
      </c>
      <c r="G64" s="71">
        <v>64</v>
      </c>
      <c r="H64" s="38">
        <f t="shared" si="1"/>
        <v>68.2</v>
      </c>
      <c r="I64" s="38">
        <f t="shared" si="2"/>
        <v>80</v>
      </c>
      <c r="J64" s="38">
        <f t="shared" si="3"/>
        <v>80</v>
      </c>
      <c r="K64" s="38">
        <f t="shared" si="4"/>
        <v>80.91</v>
      </c>
      <c r="L64" s="38">
        <f t="shared" si="5"/>
        <v>79.43</v>
      </c>
    </row>
    <row r="65" spans="1:12">
      <c r="A65" s="69" t="s">
        <v>73</v>
      </c>
      <c r="B65" s="70"/>
      <c r="C65" s="70"/>
      <c r="D65" s="70"/>
      <c r="E65" s="71"/>
      <c r="F65" s="70">
        <v>0</v>
      </c>
      <c r="G65" s="71">
        <v>38</v>
      </c>
      <c r="H65" s="56">
        <f t="shared" si="1"/>
        <v>30.4</v>
      </c>
      <c r="I65" s="56">
        <f t="shared" si="2"/>
        <v>12</v>
      </c>
      <c r="J65" s="56">
        <f t="shared" si="3"/>
        <v>12</v>
      </c>
      <c r="K65" s="56">
        <f t="shared" si="4"/>
        <v>0</v>
      </c>
      <c r="L65" s="56">
        <f t="shared" si="5"/>
        <v>21.71</v>
      </c>
    </row>
    <row r="66" spans="1:12">
      <c r="A66" s="69" t="s">
        <v>74</v>
      </c>
      <c r="B66" s="72">
        <v>49</v>
      </c>
      <c r="C66" s="72">
        <v>10</v>
      </c>
      <c r="D66" s="72">
        <v>34</v>
      </c>
      <c r="E66" s="72">
        <v>93</v>
      </c>
      <c r="F66" s="73">
        <v>85</v>
      </c>
      <c r="G66" s="71">
        <v>56</v>
      </c>
      <c r="H66" s="38">
        <f t="shared" si="1"/>
        <v>61.8</v>
      </c>
      <c r="I66" s="38">
        <f t="shared" si="2"/>
        <v>81</v>
      </c>
      <c r="J66" s="38">
        <f t="shared" si="3"/>
        <v>81</v>
      </c>
      <c r="K66" s="38">
        <f t="shared" si="4"/>
        <v>95.91</v>
      </c>
      <c r="L66" s="38">
        <f t="shared" si="5"/>
        <v>68.43</v>
      </c>
    </row>
    <row r="67" spans="1:12">
      <c r="A67" s="69" t="s">
        <v>75</v>
      </c>
      <c r="B67" s="72">
        <v>49</v>
      </c>
      <c r="C67" s="72">
        <v>10</v>
      </c>
      <c r="D67" s="72">
        <v>40</v>
      </c>
      <c r="E67" s="72">
        <v>99</v>
      </c>
      <c r="F67" s="75">
        <v>85</v>
      </c>
      <c r="G67" s="71">
        <v>60</v>
      </c>
      <c r="H67" s="38">
        <f t="shared" si="1"/>
        <v>65</v>
      </c>
      <c r="I67" s="38">
        <f t="shared" si="2"/>
        <v>85</v>
      </c>
      <c r="J67" s="38">
        <f t="shared" si="3"/>
        <v>85</v>
      </c>
      <c r="K67" s="38">
        <f t="shared" si="4"/>
        <v>95.91</v>
      </c>
      <c r="L67" s="38">
        <f t="shared" si="5"/>
        <v>77.14</v>
      </c>
    </row>
    <row r="68" spans="1:12">
      <c r="A68" s="69" t="s">
        <v>76</v>
      </c>
      <c r="B68" s="72">
        <v>45</v>
      </c>
      <c r="C68" s="72">
        <v>10</v>
      </c>
      <c r="D68" s="72">
        <v>38</v>
      </c>
      <c r="E68" s="72">
        <v>93</v>
      </c>
      <c r="F68" s="73">
        <v>60</v>
      </c>
      <c r="G68" s="71">
        <v>42</v>
      </c>
      <c r="H68" s="38">
        <f t="shared" ref="H68:H93" si="6">F68*0.2+G68*0.8</f>
        <v>45.6</v>
      </c>
      <c r="I68" s="38">
        <f t="shared" ref="I68:I93" si="7">ROUND(E68*0.6+H68*0.4,0)</f>
        <v>74</v>
      </c>
      <c r="J68" s="38">
        <f t="shared" ref="J68:J93" si="8">ROUND(K68*0.44+L68*0.56,0)</f>
        <v>74</v>
      </c>
      <c r="K68" s="38">
        <f t="shared" ref="K68:K93" si="9">ROUND(B68/50*100*30/44+C68/10*100*6/44+F68*8/44,2)</f>
        <v>85.91</v>
      </c>
      <c r="L68" s="38">
        <f t="shared" ref="L68:L93" si="10">ROUND(D68/40*100*24/56+G68*32/56,2)</f>
        <v>64.71</v>
      </c>
    </row>
    <row r="69" spans="1:12">
      <c r="A69" s="69" t="s">
        <v>77</v>
      </c>
      <c r="B69" s="72">
        <v>46</v>
      </c>
      <c r="C69" s="72">
        <v>10</v>
      </c>
      <c r="D69" s="72">
        <v>38</v>
      </c>
      <c r="E69" s="72">
        <v>94</v>
      </c>
      <c r="F69" s="73">
        <v>60</v>
      </c>
      <c r="G69" s="71">
        <v>80</v>
      </c>
      <c r="H69" s="38">
        <f t="shared" si="6"/>
        <v>76</v>
      </c>
      <c r="I69" s="38">
        <f t="shared" si="7"/>
        <v>87</v>
      </c>
      <c r="J69" s="38">
        <f t="shared" si="8"/>
        <v>87</v>
      </c>
      <c r="K69" s="38">
        <f t="shared" si="9"/>
        <v>87.27</v>
      </c>
      <c r="L69" s="38">
        <f t="shared" si="10"/>
        <v>86.43</v>
      </c>
    </row>
    <row r="70" spans="1:12">
      <c r="A70" s="69" t="s">
        <v>78</v>
      </c>
      <c r="B70" s="72">
        <v>41</v>
      </c>
      <c r="C70" s="72">
        <v>10</v>
      </c>
      <c r="D70" s="72">
        <v>38</v>
      </c>
      <c r="E70" s="72">
        <v>89</v>
      </c>
      <c r="F70" s="73">
        <v>90</v>
      </c>
      <c r="G70" s="71">
        <v>46</v>
      </c>
      <c r="H70" s="38">
        <f t="shared" si="6"/>
        <v>54.8</v>
      </c>
      <c r="I70" s="38">
        <f t="shared" si="7"/>
        <v>75</v>
      </c>
      <c r="J70" s="38">
        <f t="shared" si="8"/>
        <v>75</v>
      </c>
      <c r="K70" s="38">
        <f t="shared" si="9"/>
        <v>85.91</v>
      </c>
      <c r="L70" s="38">
        <f t="shared" si="10"/>
        <v>67</v>
      </c>
    </row>
    <row r="71" spans="1:12">
      <c r="A71" s="69" t="s">
        <v>79</v>
      </c>
      <c r="B71" s="72">
        <v>40</v>
      </c>
      <c r="C71" s="72">
        <v>10</v>
      </c>
      <c r="D71" s="72">
        <v>40</v>
      </c>
      <c r="E71" s="72">
        <v>90</v>
      </c>
      <c r="F71" s="73">
        <v>60</v>
      </c>
      <c r="G71" s="71">
        <v>60</v>
      </c>
      <c r="H71" s="38">
        <f t="shared" si="6"/>
        <v>60</v>
      </c>
      <c r="I71" s="38">
        <f t="shared" si="7"/>
        <v>78</v>
      </c>
      <c r="J71" s="38">
        <f t="shared" si="8"/>
        <v>78</v>
      </c>
      <c r="K71" s="38">
        <f t="shared" si="9"/>
        <v>79.09</v>
      </c>
      <c r="L71" s="38">
        <f t="shared" si="10"/>
        <v>77.14</v>
      </c>
    </row>
    <row r="72" spans="1:12">
      <c r="A72" s="69" t="s">
        <v>80</v>
      </c>
      <c r="B72" s="72">
        <v>41</v>
      </c>
      <c r="C72" s="72">
        <v>10</v>
      </c>
      <c r="D72" s="72">
        <v>36</v>
      </c>
      <c r="E72" s="72">
        <v>87</v>
      </c>
      <c r="F72" s="73">
        <v>60</v>
      </c>
      <c r="G72" s="71">
        <v>52</v>
      </c>
      <c r="H72" s="38">
        <f t="shared" si="6"/>
        <v>53.6</v>
      </c>
      <c r="I72" s="38">
        <f t="shared" si="7"/>
        <v>74</v>
      </c>
      <c r="J72" s="38">
        <f t="shared" si="8"/>
        <v>74</v>
      </c>
      <c r="K72" s="38">
        <f t="shared" si="9"/>
        <v>80.45</v>
      </c>
      <c r="L72" s="38">
        <f t="shared" si="10"/>
        <v>68.29</v>
      </c>
    </row>
    <row r="73" spans="1:12">
      <c r="A73" s="69" t="s">
        <v>81</v>
      </c>
      <c r="B73" s="72">
        <v>47</v>
      </c>
      <c r="C73" s="72">
        <v>10</v>
      </c>
      <c r="D73" s="72">
        <v>38</v>
      </c>
      <c r="E73" s="72">
        <v>95</v>
      </c>
      <c r="F73" s="73">
        <v>85</v>
      </c>
      <c r="G73" s="71">
        <v>62</v>
      </c>
      <c r="H73" s="38">
        <f t="shared" si="6"/>
        <v>66.6</v>
      </c>
      <c r="I73" s="38">
        <f t="shared" si="7"/>
        <v>84</v>
      </c>
      <c r="J73" s="38">
        <f t="shared" si="8"/>
        <v>84</v>
      </c>
      <c r="K73" s="38">
        <f t="shared" si="9"/>
        <v>93.18</v>
      </c>
      <c r="L73" s="38">
        <f t="shared" si="10"/>
        <v>76.14</v>
      </c>
    </row>
    <row r="74" spans="1:12">
      <c r="A74" s="69" t="s">
        <v>82</v>
      </c>
      <c r="B74" s="72">
        <v>43</v>
      </c>
      <c r="C74" s="72">
        <v>10</v>
      </c>
      <c r="D74" s="72">
        <v>38</v>
      </c>
      <c r="E74" s="72">
        <v>91</v>
      </c>
      <c r="F74" s="73">
        <v>60</v>
      </c>
      <c r="G74" s="71">
        <v>40</v>
      </c>
      <c r="H74" s="38">
        <f t="shared" si="6"/>
        <v>44</v>
      </c>
      <c r="I74" s="38">
        <f t="shared" si="7"/>
        <v>72</v>
      </c>
      <c r="J74" s="38">
        <f t="shared" si="8"/>
        <v>72</v>
      </c>
      <c r="K74" s="38">
        <f t="shared" si="9"/>
        <v>83.18</v>
      </c>
      <c r="L74" s="38">
        <f t="shared" si="10"/>
        <v>63.57</v>
      </c>
    </row>
    <row r="75" spans="1:12">
      <c r="A75" s="69" t="s">
        <v>83</v>
      </c>
      <c r="B75" s="72">
        <v>36</v>
      </c>
      <c r="C75" s="72">
        <v>10</v>
      </c>
      <c r="D75" s="72">
        <v>34</v>
      </c>
      <c r="E75" s="72">
        <v>80</v>
      </c>
      <c r="F75" s="73">
        <v>60</v>
      </c>
      <c r="G75" s="71">
        <v>54</v>
      </c>
      <c r="H75" s="38">
        <f t="shared" si="6"/>
        <v>55.2</v>
      </c>
      <c r="I75" s="38">
        <f t="shared" si="7"/>
        <v>70</v>
      </c>
      <c r="J75" s="38">
        <f t="shared" si="8"/>
        <v>70</v>
      </c>
      <c r="K75" s="38">
        <f t="shared" si="9"/>
        <v>73.64</v>
      </c>
      <c r="L75" s="38">
        <f t="shared" si="10"/>
        <v>67.29</v>
      </c>
    </row>
    <row r="76" spans="1:12">
      <c r="A76" s="69" t="s">
        <v>84</v>
      </c>
      <c r="B76" s="72">
        <v>45</v>
      </c>
      <c r="C76" s="72">
        <v>10</v>
      </c>
      <c r="D76" s="72">
        <v>38</v>
      </c>
      <c r="E76" s="72">
        <v>93</v>
      </c>
      <c r="F76" s="73">
        <v>85</v>
      </c>
      <c r="G76" s="71">
        <v>42</v>
      </c>
      <c r="H76" s="38">
        <f t="shared" si="6"/>
        <v>50.6</v>
      </c>
      <c r="I76" s="38">
        <f t="shared" si="7"/>
        <v>76</v>
      </c>
      <c r="J76" s="38">
        <f t="shared" si="8"/>
        <v>76</v>
      </c>
      <c r="K76" s="38">
        <f t="shared" si="9"/>
        <v>90.45</v>
      </c>
      <c r="L76" s="38">
        <f t="shared" si="10"/>
        <v>64.71</v>
      </c>
    </row>
    <row r="77" spans="1:12">
      <c r="A77" s="69" t="s">
        <v>85</v>
      </c>
      <c r="B77" s="76">
        <v>30</v>
      </c>
      <c r="C77" s="76">
        <v>6</v>
      </c>
      <c r="D77" s="76">
        <v>24</v>
      </c>
      <c r="E77" s="76">
        <v>60</v>
      </c>
      <c r="F77" s="73">
        <v>60</v>
      </c>
      <c r="G77" s="74">
        <v>84</v>
      </c>
      <c r="H77" s="38">
        <f t="shared" si="6"/>
        <v>79.2</v>
      </c>
      <c r="I77" s="38">
        <f t="shared" si="7"/>
        <v>68</v>
      </c>
      <c r="J77" s="38">
        <f t="shared" si="8"/>
        <v>68</v>
      </c>
      <c r="K77" s="38">
        <f t="shared" si="9"/>
        <v>60</v>
      </c>
      <c r="L77" s="38">
        <f t="shared" si="10"/>
        <v>73.71</v>
      </c>
    </row>
    <row r="78" spans="1:12">
      <c r="A78" s="69" t="s">
        <v>86</v>
      </c>
      <c r="B78" s="72">
        <v>43</v>
      </c>
      <c r="C78" s="72">
        <v>10</v>
      </c>
      <c r="D78" s="72">
        <v>37</v>
      </c>
      <c r="E78" s="72">
        <v>90</v>
      </c>
      <c r="F78" s="73">
        <v>60</v>
      </c>
      <c r="G78" s="71">
        <v>70</v>
      </c>
      <c r="H78" s="38">
        <f t="shared" si="6"/>
        <v>68</v>
      </c>
      <c r="I78" s="38">
        <f t="shared" si="7"/>
        <v>81</v>
      </c>
      <c r="J78" s="38">
        <f t="shared" si="8"/>
        <v>81</v>
      </c>
      <c r="K78" s="38">
        <f t="shared" si="9"/>
        <v>83.18</v>
      </c>
      <c r="L78" s="38">
        <f t="shared" si="10"/>
        <v>79.64</v>
      </c>
    </row>
    <row r="79" spans="1:12">
      <c r="A79" s="69" t="s">
        <v>87</v>
      </c>
      <c r="B79" s="72">
        <v>49</v>
      </c>
      <c r="C79" s="72">
        <v>10</v>
      </c>
      <c r="D79" s="72">
        <v>38</v>
      </c>
      <c r="E79" s="72">
        <v>97</v>
      </c>
      <c r="F79" s="73">
        <v>60</v>
      </c>
      <c r="G79" s="71">
        <v>68</v>
      </c>
      <c r="H79" s="38">
        <f t="shared" si="6"/>
        <v>66.4</v>
      </c>
      <c r="I79" s="38">
        <f t="shared" si="7"/>
        <v>85</v>
      </c>
      <c r="J79" s="38">
        <f t="shared" si="8"/>
        <v>85</v>
      </c>
      <c r="K79" s="38">
        <f t="shared" si="9"/>
        <v>91.36</v>
      </c>
      <c r="L79" s="38">
        <f t="shared" si="10"/>
        <v>79.57</v>
      </c>
    </row>
    <row r="80" spans="1:12">
      <c r="A80" s="69" t="s">
        <v>88</v>
      </c>
      <c r="B80" s="72">
        <v>39</v>
      </c>
      <c r="C80" s="72">
        <v>9</v>
      </c>
      <c r="D80" s="72">
        <v>40</v>
      </c>
      <c r="E80" s="72">
        <v>88</v>
      </c>
      <c r="F80" s="73">
        <v>80</v>
      </c>
      <c r="G80" s="71">
        <v>54</v>
      </c>
      <c r="H80" s="38">
        <f t="shared" si="6"/>
        <v>59.2</v>
      </c>
      <c r="I80" s="38">
        <f t="shared" si="7"/>
        <v>76</v>
      </c>
      <c r="J80" s="38">
        <f t="shared" si="8"/>
        <v>76</v>
      </c>
      <c r="K80" s="38">
        <f t="shared" si="9"/>
        <v>80</v>
      </c>
      <c r="L80" s="38">
        <f t="shared" si="10"/>
        <v>73.71</v>
      </c>
    </row>
    <row r="81" spans="1:12">
      <c r="A81" s="69" t="s">
        <v>89</v>
      </c>
      <c r="B81" s="72">
        <v>43</v>
      </c>
      <c r="C81" s="72">
        <v>10</v>
      </c>
      <c r="D81" s="72">
        <v>39</v>
      </c>
      <c r="E81" s="72">
        <v>92</v>
      </c>
      <c r="F81" s="73">
        <v>60</v>
      </c>
      <c r="G81" s="71">
        <v>58</v>
      </c>
      <c r="H81" s="38">
        <f t="shared" si="6"/>
        <v>58.4</v>
      </c>
      <c r="I81" s="38">
        <f t="shared" si="7"/>
        <v>79</v>
      </c>
      <c r="J81" s="38">
        <f t="shared" si="8"/>
        <v>79</v>
      </c>
      <c r="K81" s="38">
        <f t="shared" si="9"/>
        <v>83.18</v>
      </c>
      <c r="L81" s="38">
        <f t="shared" si="10"/>
        <v>74.93</v>
      </c>
    </row>
    <row r="82" spans="1:12">
      <c r="A82" s="69" t="s">
        <v>90</v>
      </c>
      <c r="B82" s="72">
        <v>47</v>
      </c>
      <c r="C82" s="72">
        <v>10</v>
      </c>
      <c r="D82" s="72">
        <v>38</v>
      </c>
      <c r="E82" s="72">
        <v>95</v>
      </c>
      <c r="F82" s="73">
        <v>60</v>
      </c>
      <c r="G82" s="71">
        <v>18</v>
      </c>
      <c r="H82" s="38">
        <f t="shared" si="6"/>
        <v>26.4</v>
      </c>
      <c r="I82" s="38">
        <f t="shared" si="7"/>
        <v>68</v>
      </c>
      <c r="J82" s="38">
        <f t="shared" si="8"/>
        <v>68</v>
      </c>
      <c r="K82" s="38">
        <f t="shared" si="9"/>
        <v>88.64</v>
      </c>
      <c r="L82" s="38">
        <f t="shared" si="10"/>
        <v>51</v>
      </c>
    </row>
    <row r="83" spans="1:12">
      <c r="A83" s="69" t="s">
        <v>91</v>
      </c>
      <c r="B83" s="72">
        <v>49</v>
      </c>
      <c r="C83" s="72">
        <v>10</v>
      </c>
      <c r="D83" s="72">
        <v>40</v>
      </c>
      <c r="E83" s="72">
        <v>99</v>
      </c>
      <c r="F83" s="73">
        <v>60</v>
      </c>
      <c r="G83" s="71">
        <v>72</v>
      </c>
      <c r="H83" s="38">
        <f t="shared" si="6"/>
        <v>69.6</v>
      </c>
      <c r="I83" s="38">
        <f t="shared" si="7"/>
        <v>87</v>
      </c>
      <c r="J83" s="38">
        <f t="shared" si="8"/>
        <v>87</v>
      </c>
      <c r="K83" s="38">
        <f t="shared" si="9"/>
        <v>91.36</v>
      </c>
      <c r="L83" s="38">
        <f t="shared" si="10"/>
        <v>84</v>
      </c>
    </row>
    <row r="84" spans="1:12">
      <c r="A84" s="69" t="s">
        <v>92</v>
      </c>
      <c r="B84" s="72">
        <v>47</v>
      </c>
      <c r="C84" s="72">
        <v>9</v>
      </c>
      <c r="D84" s="72">
        <v>39</v>
      </c>
      <c r="E84" s="72">
        <v>95</v>
      </c>
      <c r="F84" s="73">
        <v>60</v>
      </c>
      <c r="G84" s="71">
        <v>78</v>
      </c>
      <c r="H84" s="38">
        <f t="shared" si="6"/>
        <v>74.4</v>
      </c>
      <c r="I84" s="38">
        <f t="shared" si="7"/>
        <v>87</v>
      </c>
      <c r="J84" s="38">
        <f t="shared" si="8"/>
        <v>87</v>
      </c>
      <c r="K84" s="38">
        <f t="shared" si="9"/>
        <v>87.27</v>
      </c>
      <c r="L84" s="38">
        <f t="shared" si="10"/>
        <v>86.36</v>
      </c>
    </row>
    <row r="85" spans="1:12">
      <c r="A85" s="69" t="s">
        <v>93</v>
      </c>
      <c r="B85" s="72">
        <v>40</v>
      </c>
      <c r="C85" s="72">
        <v>4</v>
      </c>
      <c r="D85" s="72">
        <v>38</v>
      </c>
      <c r="E85" s="72">
        <v>82</v>
      </c>
      <c r="F85" s="73">
        <v>60</v>
      </c>
      <c r="G85" s="71">
        <v>48</v>
      </c>
      <c r="H85" s="38">
        <f t="shared" si="6"/>
        <v>50.4</v>
      </c>
      <c r="I85" s="38">
        <f t="shared" si="7"/>
        <v>69</v>
      </c>
      <c r="J85" s="38">
        <f t="shared" si="8"/>
        <v>69</v>
      </c>
      <c r="K85" s="38">
        <f t="shared" si="9"/>
        <v>70.91</v>
      </c>
      <c r="L85" s="38">
        <f t="shared" si="10"/>
        <v>68.14</v>
      </c>
    </row>
    <row r="86" spans="1:12">
      <c r="A86" s="69" t="s">
        <v>94</v>
      </c>
      <c r="B86" s="72">
        <v>42</v>
      </c>
      <c r="C86" s="72">
        <v>9</v>
      </c>
      <c r="D86" s="72">
        <v>35</v>
      </c>
      <c r="E86" s="72">
        <v>86</v>
      </c>
      <c r="F86" s="73">
        <v>60</v>
      </c>
      <c r="G86" s="71">
        <v>54</v>
      </c>
      <c r="H86" s="38">
        <f t="shared" si="6"/>
        <v>55.2</v>
      </c>
      <c r="I86" s="38">
        <f t="shared" si="7"/>
        <v>74</v>
      </c>
      <c r="J86" s="38">
        <f t="shared" si="8"/>
        <v>74</v>
      </c>
      <c r="K86" s="38">
        <f t="shared" si="9"/>
        <v>80.45</v>
      </c>
      <c r="L86" s="38">
        <f t="shared" si="10"/>
        <v>68.36</v>
      </c>
    </row>
    <row r="87" spans="1:12">
      <c r="A87" s="69" t="s">
        <v>95</v>
      </c>
      <c r="B87" s="72">
        <v>34</v>
      </c>
      <c r="C87" s="72">
        <v>8</v>
      </c>
      <c r="D87" s="72">
        <v>36</v>
      </c>
      <c r="E87" s="72">
        <v>78</v>
      </c>
      <c r="F87" s="73">
        <v>60</v>
      </c>
      <c r="G87" s="71">
        <v>62</v>
      </c>
      <c r="H87" s="38">
        <f t="shared" si="6"/>
        <v>61.6</v>
      </c>
      <c r="I87" s="38">
        <f t="shared" si="7"/>
        <v>71</v>
      </c>
      <c r="J87" s="38">
        <f t="shared" si="8"/>
        <v>71</v>
      </c>
      <c r="K87" s="38">
        <f t="shared" si="9"/>
        <v>68.18</v>
      </c>
      <c r="L87" s="38">
        <f t="shared" si="10"/>
        <v>74</v>
      </c>
    </row>
    <row r="88" spans="1:12">
      <c r="A88" s="69" t="s">
        <v>96</v>
      </c>
      <c r="B88" s="72">
        <v>44</v>
      </c>
      <c r="C88" s="72">
        <v>10</v>
      </c>
      <c r="D88" s="72">
        <v>37</v>
      </c>
      <c r="E88" s="72">
        <v>91</v>
      </c>
      <c r="F88" s="73">
        <v>60</v>
      </c>
      <c r="G88" s="71">
        <v>58</v>
      </c>
      <c r="H88" s="38">
        <f t="shared" si="6"/>
        <v>58.4</v>
      </c>
      <c r="I88" s="38">
        <f t="shared" si="7"/>
        <v>78</v>
      </c>
      <c r="J88" s="38">
        <f t="shared" si="8"/>
        <v>78</v>
      </c>
      <c r="K88" s="38">
        <f t="shared" si="9"/>
        <v>84.55</v>
      </c>
      <c r="L88" s="38">
        <f t="shared" si="10"/>
        <v>72.79</v>
      </c>
    </row>
    <row r="89" spans="1:12">
      <c r="A89" s="69" t="s">
        <v>97</v>
      </c>
      <c r="B89" s="72">
        <v>45</v>
      </c>
      <c r="C89" s="72">
        <v>10</v>
      </c>
      <c r="D89" s="72">
        <v>38</v>
      </c>
      <c r="E89" s="72">
        <v>93</v>
      </c>
      <c r="F89" s="73">
        <v>60</v>
      </c>
      <c r="G89" s="71">
        <v>46</v>
      </c>
      <c r="H89" s="38">
        <f t="shared" si="6"/>
        <v>48.8</v>
      </c>
      <c r="I89" s="38">
        <f t="shared" si="7"/>
        <v>75</v>
      </c>
      <c r="J89" s="38">
        <f t="shared" si="8"/>
        <v>75</v>
      </c>
      <c r="K89" s="38">
        <f t="shared" si="9"/>
        <v>85.91</v>
      </c>
      <c r="L89" s="38">
        <f t="shared" si="10"/>
        <v>67</v>
      </c>
    </row>
    <row r="90" spans="1:12">
      <c r="A90" s="69" t="s">
        <v>98</v>
      </c>
      <c r="B90" s="72">
        <v>49</v>
      </c>
      <c r="C90" s="72">
        <v>10</v>
      </c>
      <c r="D90" s="72">
        <v>40</v>
      </c>
      <c r="E90" s="72">
        <v>99</v>
      </c>
      <c r="F90" s="73">
        <v>85</v>
      </c>
      <c r="G90" s="71">
        <v>76</v>
      </c>
      <c r="H90" s="38">
        <f t="shared" si="6"/>
        <v>77.8</v>
      </c>
      <c r="I90" s="38">
        <f t="shared" si="7"/>
        <v>91</v>
      </c>
      <c r="J90" s="38">
        <f t="shared" si="8"/>
        <v>91</v>
      </c>
      <c r="K90" s="38">
        <f t="shared" si="9"/>
        <v>95.91</v>
      </c>
      <c r="L90" s="38">
        <f t="shared" si="10"/>
        <v>86.29</v>
      </c>
    </row>
    <row r="91" spans="1:12">
      <c r="A91" s="69" t="s">
        <v>99</v>
      </c>
      <c r="B91" s="72">
        <v>40</v>
      </c>
      <c r="C91" s="72">
        <v>9</v>
      </c>
      <c r="D91" s="72">
        <v>38</v>
      </c>
      <c r="E91" s="72">
        <v>87</v>
      </c>
      <c r="F91" s="73">
        <v>60</v>
      </c>
      <c r="G91" s="71">
        <v>58</v>
      </c>
      <c r="H91" s="38">
        <f t="shared" si="6"/>
        <v>58.4</v>
      </c>
      <c r="I91" s="38">
        <f t="shared" si="7"/>
        <v>76</v>
      </c>
      <c r="J91" s="38">
        <f t="shared" si="8"/>
        <v>76</v>
      </c>
      <c r="K91" s="38">
        <f t="shared" si="9"/>
        <v>77.73</v>
      </c>
      <c r="L91" s="38">
        <f t="shared" si="10"/>
        <v>73.86</v>
      </c>
    </row>
    <row r="92" spans="1:12">
      <c r="A92" s="69" t="s">
        <v>100</v>
      </c>
      <c r="B92" s="72">
        <v>47</v>
      </c>
      <c r="C92" s="72">
        <v>10</v>
      </c>
      <c r="D92" s="72">
        <v>38</v>
      </c>
      <c r="E92" s="72">
        <v>95</v>
      </c>
      <c r="F92" s="73">
        <v>60</v>
      </c>
      <c r="G92" s="71">
        <v>74</v>
      </c>
      <c r="H92" s="38">
        <f t="shared" si="6"/>
        <v>71.2</v>
      </c>
      <c r="I92" s="38">
        <f t="shared" si="7"/>
        <v>85</v>
      </c>
      <c r="J92" s="38">
        <f t="shared" si="8"/>
        <v>85</v>
      </c>
      <c r="K92" s="38">
        <f t="shared" si="9"/>
        <v>88.64</v>
      </c>
      <c r="L92" s="38">
        <f t="shared" si="10"/>
        <v>83</v>
      </c>
    </row>
    <row r="93" spans="1:12">
      <c r="A93" s="69" t="s">
        <v>101</v>
      </c>
      <c r="B93" s="72">
        <v>43</v>
      </c>
      <c r="C93" s="72">
        <v>10</v>
      </c>
      <c r="D93" s="72">
        <v>38</v>
      </c>
      <c r="E93" s="72">
        <v>91</v>
      </c>
      <c r="F93" s="73">
        <v>60</v>
      </c>
      <c r="G93" s="71">
        <v>64</v>
      </c>
      <c r="H93" s="38">
        <f t="shared" si="6"/>
        <v>63.2</v>
      </c>
      <c r="I93" s="38">
        <f t="shared" si="7"/>
        <v>80</v>
      </c>
      <c r="J93" s="38">
        <f t="shared" si="8"/>
        <v>80</v>
      </c>
      <c r="K93" s="38">
        <f t="shared" si="9"/>
        <v>83.18</v>
      </c>
      <c r="L93" s="38">
        <f t="shared" si="10"/>
        <v>77.29</v>
      </c>
    </row>
  </sheetData>
  <mergeCells count="4">
    <mergeCell ref="A1:L1"/>
    <mergeCell ref="B2:E2"/>
    <mergeCell ref="F2:H2"/>
    <mergeCell ref="A2:A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opLeftCell="A86" workbookViewId="0">
      <selection activeCell="N11" sqref="N11"/>
    </sheetView>
  </sheetViews>
  <sheetFormatPr defaultColWidth="9.14285714285714" defaultRowHeight="16.8"/>
  <cols>
    <col min="1" max="1" width="14.5714285714286" style="1" customWidth="1"/>
    <col min="2" max="2" width="12.4910714285714" style="1" customWidth="1"/>
    <col min="3" max="3" width="14.7321428571429" style="1" customWidth="1"/>
    <col min="4" max="4" width="12.4910714285714" style="1" customWidth="1"/>
    <col min="5" max="5" width="11.4464285714286" style="1" customWidth="1"/>
    <col min="6" max="6" width="12.6428571428571" style="1" customWidth="1"/>
    <col min="7" max="7" width="12.3482142857143" style="1" customWidth="1"/>
    <col min="8" max="8" width="16.9642857142857" style="1" customWidth="1"/>
    <col min="9" max="9" width="18.2946428571429" style="1" customWidth="1"/>
    <col min="10" max="10" width="17.7053571428571" style="1" customWidth="1"/>
    <col min="11" max="11" width="9.66964285714286" style="1" customWidth="1"/>
    <col min="12" max="12" width="10.7142857142857" style="1" customWidth="1"/>
    <col min="13" max="16384" width="9.14285714285714" style="1"/>
  </cols>
  <sheetData>
    <row r="1" ht="26" spans="1:1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>
      <c r="A2" s="29" t="s">
        <v>0</v>
      </c>
      <c r="B2" s="30" t="s">
        <v>1</v>
      </c>
      <c r="C2" s="31"/>
      <c r="D2" s="31"/>
      <c r="E2" s="32"/>
      <c r="F2" s="30" t="s">
        <v>2</v>
      </c>
      <c r="G2" s="31"/>
      <c r="H2" s="32"/>
      <c r="I2" s="32" t="s">
        <v>3</v>
      </c>
      <c r="J2" s="33" t="s">
        <v>4</v>
      </c>
      <c r="K2" s="33" t="s">
        <v>5</v>
      </c>
      <c r="L2" s="33" t="s">
        <v>6</v>
      </c>
    </row>
    <row r="3" spans="1:12">
      <c r="A3" s="34"/>
      <c r="B3" s="35" t="s">
        <v>7</v>
      </c>
      <c r="C3" s="35" t="s">
        <v>8</v>
      </c>
      <c r="D3" s="35" t="s">
        <v>9</v>
      </c>
      <c r="E3" s="36" t="s">
        <v>10</v>
      </c>
      <c r="F3" s="35" t="s">
        <v>11</v>
      </c>
      <c r="G3" s="35" t="s">
        <v>12</v>
      </c>
      <c r="H3" s="36" t="s">
        <v>13</v>
      </c>
      <c r="I3" s="36"/>
      <c r="J3" s="36" t="s">
        <v>14</v>
      </c>
      <c r="K3" s="37">
        <v>0.44</v>
      </c>
      <c r="L3" s="37">
        <v>0.56</v>
      </c>
    </row>
    <row r="4" spans="1:12">
      <c r="A4" s="38" t="s">
        <v>102</v>
      </c>
      <c r="B4" s="38">
        <v>34</v>
      </c>
      <c r="C4" s="38">
        <v>10</v>
      </c>
      <c r="D4" s="38">
        <v>20</v>
      </c>
      <c r="E4" s="38">
        <f t="shared" ref="E4:E6" si="0">SUM(B4:D4)</f>
        <v>64</v>
      </c>
      <c r="F4" s="38">
        <v>15</v>
      </c>
      <c r="G4" s="38">
        <v>80</v>
      </c>
      <c r="H4" s="38">
        <f t="shared" ref="H4:H67" si="1">F4*0.2+G4*0.8</f>
        <v>67</v>
      </c>
      <c r="I4" s="38">
        <f t="shared" ref="I4:I67" si="2">ROUND(E4*0.6+H4*0.4,0)</f>
        <v>65</v>
      </c>
      <c r="J4" s="38">
        <f t="shared" ref="J4:J67" si="3">ROUND(K4*0.44+L4*0.56,0)</f>
        <v>65</v>
      </c>
      <c r="K4" s="38">
        <f t="shared" ref="K4:K67" si="4">ROUND(B4/50*100*30/44+C4/10*100*6/44+F4*8/44,2)</f>
        <v>62.73</v>
      </c>
      <c r="L4" s="38">
        <f t="shared" ref="L4:L67" si="5">ROUND(D4/40*100*24/56+G4*32/56,2)</f>
        <v>67.14</v>
      </c>
    </row>
    <row r="5" spans="1:12">
      <c r="A5" s="38" t="s">
        <v>103</v>
      </c>
      <c r="B5" s="38">
        <v>50</v>
      </c>
      <c r="C5" s="38">
        <v>10</v>
      </c>
      <c r="D5" s="38">
        <v>40</v>
      </c>
      <c r="E5" s="38">
        <f t="shared" si="0"/>
        <v>100</v>
      </c>
      <c r="F5" s="38">
        <v>100</v>
      </c>
      <c r="G5" s="38">
        <v>100</v>
      </c>
      <c r="H5" s="38">
        <f t="shared" si="1"/>
        <v>100</v>
      </c>
      <c r="I5" s="38">
        <f t="shared" si="2"/>
        <v>100</v>
      </c>
      <c r="J5" s="38">
        <f t="shared" si="3"/>
        <v>100</v>
      </c>
      <c r="K5" s="38">
        <f t="shared" si="4"/>
        <v>100</v>
      </c>
      <c r="L5" s="38">
        <f t="shared" si="5"/>
        <v>100</v>
      </c>
    </row>
    <row r="6" spans="1:12">
      <c r="A6" s="38" t="s">
        <v>104</v>
      </c>
      <c r="B6" s="38">
        <f>50*0.6</f>
        <v>30</v>
      </c>
      <c r="C6" s="38">
        <f>10*0.6</f>
        <v>6</v>
      </c>
      <c r="D6" s="38">
        <f>40*0.6</f>
        <v>24</v>
      </c>
      <c r="E6" s="38">
        <f t="shared" si="0"/>
        <v>60</v>
      </c>
      <c r="F6" s="38">
        <v>70</v>
      </c>
      <c r="G6" s="38">
        <v>31</v>
      </c>
      <c r="H6" s="38">
        <f t="shared" si="1"/>
        <v>38.8</v>
      </c>
      <c r="I6" s="38">
        <f t="shared" si="2"/>
        <v>52</v>
      </c>
      <c r="J6" s="38">
        <f t="shared" si="3"/>
        <v>52</v>
      </c>
      <c r="K6" s="38">
        <f t="shared" si="4"/>
        <v>61.82</v>
      </c>
      <c r="L6" s="38">
        <f t="shared" si="5"/>
        <v>43.43</v>
      </c>
    </row>
    <row r="7" spans="1:12">
      <c r="A7" s="38"/>
      <c r="B7" s="38">
        <v>48</v>
      </c>
      <c r="C7" s="38">
        <v>10</v>
      </c>
      <c r="D7" s="45">
        <v>0</v>
      </c>
      <c r="E7" s="38">
        <v>58</v>
      </c>
      <c r="F7" s="41">
        <v>100</v>
      </c>
      <c r="G7" s="42">
        <v>48</v>
      </c>
      <c r="H7" s="38">
        <f t="shared" si="1"/>
        <v>58.4</v>
      </c>
      <c r="I7" s="38">
        <f t="shared" si="2"/>
        <v>58</v>
      </c>
      <c r="J7" s="38">
        <f t="shared" si="3"/>
        <v>58</v>
      </c>
      <c r="K7" s="38">
        <f t="shared" si="4"/>
        <v>97.27</v>
      </c>
      <c r="L7" s="38">
        <f t="shared" si="5"/>
        <v>27.43</v>
      </c>
    </row>
    <row r="8" spans="1:12">
      <c r="A8" s="38"/>
      <c r="B8" s="38"/>
      <c r="C8" s="38"/>
      <c r="D8" s="38"/>
      <c r="E8" s="45"/>
      <c r="F8" s="38"/>
      <c r="G8" s="38"/>
      <c r="H8" s="38">
        <f t="shared" si="1"/>
        <v>0</v>
      </c>
      <c r="I8" s="38">
        <f t="shared" si="2"/>
        <v>0</v>
      </c>
      <c r="J8" s="38">
        <f t="shared" si="3"/>
        <v>0</v>
      </c>
      <c r="K8" s="38">
        <f t="shared" si="4"/>
        <v>0</v>
      </c>
      <c r="L8" s="38">
        <f t="shared" si="5"/>
        <v>0</v>
      </c>
    </row>
    <row r="9" spans="1:12">
      <c r="H9" s="38">
        <f t="shared" si="1"/>
        <v>0</v>
      </c>
      <c r="I9" s="38">
        <f t="shared" si="2"/>
        <v>0</v>
      </c>
      <c r="J9" s="38">
        <f t="shared" si="3"/>
        <v>0</v>
      </c>
      <c r="K9" s="38">
        <f t="shared" si="4"/>
        <v>0</v>
      </c>
      <c r="L9" s="38">
        <f t="shared" si="5"/>
        <v>0</v>
      </c>
    </row>
    <row r="10" spans="1:12">
      <c r="A10" s="38">
        <v>1</v>
      </c>
      <c r="B10" s="38" t="s">
        <v>63</v>
      </c>
      <c r="C10" s="38" t="s">
        <v>25</v>
      </c>
      <c r="D10" s="38" t="s">
        <v>55</v>
      </c>
      <c r="E10" s="45" t="s">
        <v>105</v>
      </c>
      <c r="F10" s="38">
        <v>88.2</v>
      </c>
      <c r="G10" s="38">
        <v>90</v>
      </c>
      <c r="H10" s="38">
        <f t="shared" si="1"/>
        <v>89.64</v>
      </c>
      <c r="I10" s="38">
        <f t="shared" si="2"/>
        <v>95</v>
      </c>
      <c r="J10" s="38">
        <f t="shared" si="3"/>
        <v>95</v>
      </c>
      <c r="K10" s="38">
        <f t="shared" si="4"/>
        <v>95.13</v>
      </c>
      <c r="L10" s="38">
        <f t="shared" si="5"/>
        <v>94.29</v>
      </c>
    </row>
    <row r="11" spans="1:12">
      <c r="A11" s="38">
        <v>2</v>
      </c>
      <c r="B11" s="38" t="s">
        <v>55</v>
      </c>
      <c r="C11" s="38" t="s">
        <v>25</v>
      </c>
      <c r="D11" s="38" t="s">
        <v>53</v>
      </c>
      <c r="E11" s="45" t="s">
        <v>106</v>
      </c>
      <c r="F11" s="38">
        <v>81.2</v>
      </c>
      <c r="G11" s="38">
        <v>82</v>
      </c>
      <c r="H11" s="38">
        <f t="shared" si="1"/>
        <v>81.84</v>
      </c>
      <c r="I11" s="38">
        <f t="shared" si="2"/>
        <v>86</v>
      </c>
      <c r="J11" s="38">
        <f t="shared" si="3"/>
        <v>86</v>
      </c>
      <c r="K11" s="38">
        <f t="shared" si="4"/>
        <v>82.95</v>
      </c>
      <c r="L11" s="38">
        <f t="shared" si="5"/>
        <v>87.57</v>
      </c>
    </row>
    <row r="12" spans="1:12">
      <c r="A12" s="38">
        <v>3</v>
      </c>
      <c r="B12" s="38" t="s">
        <v>56</v>
      </c>
      <c r="C12" s="38" t="s">
        <v>25</v>
      </c>
      <c r="D12" s="38" t="s">
        <v>53</v>
      </c>
      <c r="E12" s="45" t="s">
        <v>107</v>
      </c>
      <c r="F12" s="38">
        <v>85.4</v>
      </c>
      <c r="G12" s="38">
        <v>64</v>
      </c>
      <c r="H12" s="38">
        <f t="shared" si="1"/>
        <v>68.28</v>
      </c>
      <c r="I12" s="38">
        <f t="shared" si="2"/>
        <v>81</v>
      </c>
      <c r="J12" s="38">
        <f t="shared" si="3"/>
        <v>81</v>
      </c>
      <c r="K12" s="38">
        <f t="shared" si="4"/>
        <v>85.07</v>
      </c>
      <c r="L12" s="38">
        <f t="shared" si="5"/>
        <v>77.29</v>
      </c>
    </row>
    <row r="13" spans="1:12">
      <c r="A13" s="38">
        <v>4</v>
      </c>
      <c r="B13" s="38" t="s">
        <v>64</v>
      </c>
      <c r="C13" s="38" t="s">
        <v>25</v>
      </c>
      <c r="D13" s="38" t="s">
        <v>55</v>
      </c>
      <c r="E13" s="45" t="s">
        <v>108</v>
      </c>
      <c r="F13" s="38">
        <v>83.5</v>
      </c>
      <c r="G13" s="38">
        <v>88</v>
      </c>
      <c r="H13" s="38">
        <f t="shared" si="1"/>
        <v>87.1</v>
      </c>
      <c r="I13" s="38">
        <f t="shared" si="2"/>
        <v>94</v>
      </c>
      <c r="J13" s="38">
        <f t="shared" si="3"/>
        <v>94</v>
      </c>
      <c r="K13" s="38">
        <f t="shared" si="4"/>
        <v>95.64</v>
      </c>
      <c r="L13" s="38">
        <f t="shared" si="5"/>
        <v>93.14</v>
      </c>
    </row>
    <row r="14" spans="1:12">
      <c r="A14" s="38">
        <v>5</v>
      </c>
      <c r="B14" s="38" t="s">
        <v>55</v>
      </c>
      <c r="C14" s="38" t="s">
        <v>24</v>
      </c>
      <c r="D14" s="38" t="s">
        <v>53</v>
      </c>
      <c r="E14" s="45" t="s">
        <v>109</v>
      </c>
      <c r="F14" s="38">
        <v>70.6</v>
      </c>
      <c r="G14" s="38">
        <v>72</v>
      </c>
      <c r="H14" s="38">
        <f t="shared" si="1"/>
        <v>71.72</v>
      </c>
      <c r="I14" s="38">
        <f t="shared" si="2"/>
        <v>81</v>
      </c>
      <c r="J14" s="38">
        <f t="shared" si="3"/>
        <v>81</v>
      </c>
      <c r="K14" s="38">
        <f t="shared" si="4"/>
        <v>79.65</v>
      </c>
      <c r="L14" s="38">
        <f t="shared" si="5"/>
        <v>81.86</v>
      </c>
    </row>
    <row r="15" spans="1:12">
      <c r="A15" s="38">
        <v>6</v>
      </c>
      <c r="B15" s="38" t="s">
        <v>57</v>
      </c>
      <c r="C15" s="38" t="s">
        <v>25</v>
      </c>
      <c r="D15" s="38" t="s">
        <v>54</v>
      </c>
      <c r="E15" s="45" t="s">
        <v>110</v>
      </c>
      <c r="F15" s="38">
        <v>84.7</v>
      </c>
      <c r="G15" s="38">
        <v>54</v>
      </c>
      <c r="H15" s="38">
        <f t="shared" si="1"/>
        <v>60.14</v>
      </c>
      <c r="I15" s="38">
        <f t="shared" si="2"/>
        <v>79</v>
      </c>
      <c r="J15" s="38">
        <f t="shared" si="3"/>
        <v>79</v>
      </c>
      <c r="K15" s="38">
        <f t="shared" si="4"/>
        <v>86.31</v>
      </c>
      <c r="L15" s="38">
        <f t="shared" si="5"/>
        <v>72.64</v>
      </c>
    </row>
    <row r="16" spans="1:12">
      <c r="A16" s="38">
        <v>7</v>
      </c>
      <c r="B16" s="54" t="s">
        <v>55</v>
      </c>
      <c r="C16" s="54" t="s">
        <v>25</v>
      </c>
      <c r="D16" s="54" t="s">
        <v>53</v>
      </c>
      <c r="E16" s="54" t="s">
        <v>106</v>
      </c>
      <c r="F16" s="38">
        <v>77.6</v>
      </c>
      <c r="G16" s="54">
        <v>72</v>
      </c>
      <c r="H16" s="38">
        <f t="shared" si="1"/>
        <v>73.12</v>
      </c>
      <c r="I16" s="38">
        <f t="shared" si="2"/>
        <v>82</v>
      </c>
      <c r="J16" s="38">
        <f t="shared" si="3"/>
        <v>82</v>
      </c>
      <c r="K16" s="38">
        <f t="shared" si="4"/>
        <v>82.29</v>
      </c>
      <c r="L16" s="38">
        <f t="shared" si="5"/>
        <v>81.86</v>
      </c>
    </row>
    <row r="17" spans="1:12">
      <c r="A17" s="38">
        <v>8</v>
      </c>
      <c r="B17" s="54" t="s">
        <v>64</v>
      </c>
      <c r="C17" s="54" t="s">
        <v>25</v>
      </c>
      <c r="D17" s="54" t="s">
        <v>53</v>
      </c>
      <c r="E17" s="54" t="s">
        <v>111</v>
      </c>
      <c r="F17" s="38">
        <v>59.5</v>
      </c>
      <c r="G17" s="54">
        <v>88</v>
      </c>
      <c r="H17" s="38">
        <f t="shared" si="1"/>
        <v>82.3</v>
      </c>
      <c r="I17" s="38">
        <f t="shared" si="2"/>
        <v>91</v>
      </c>
      <c r="J17" s="38">
        <f t="shared" si="3"/>
        <v>91</v>
      </c>
      <c r="K17" s="38">
        <f t="shared" si="4"/>
        <v>91.27</v>
      </c>
      <c r="L17" s="38">
        <f t="shared" si="5"/>
        <v>91</v>
      </c>
    </row>
    <row r="18" spans="1:12">
      <c r="A18" s="38">
        <v>9</v>
      </c>
      <c r="B18" s="54" t="s">
        <v>64</v>
      </c>
      <c r="C18" s="54" t="s">
        <v>25</v>
      </c>
      <c r="D18" s="54" t="s">
        <v>55</v>
      </c>
      <c r="E18" s="54" t="s">
        <v>108</v>
      </c>
      <c r="F18" s="38">
        <v>81.1</v>
      </c>
      <c r="G18" s="54">
        <v>82</v>
      </c>
      <c r="H18" s="38">
        <f t="shared" si="1"/>
        <v>81.82</v>
      </c>
      <c r="I18" s="38">
        <f t="shared" si="2"/>
        <v>92</v>
      </c>
      <c r="J18" s="38">
        <f t="shared" si="3"/>
        <v>92</v>
      </c>
      <c r="K18" s="38">
        <f t="shared" si="4"/>
        <v>95.2</v>
      </c>
      <c r="L18" s="38">
        <f t="shared" si="5"/>
        <v>89.71</v>
      </c>
    </row>
    <row r="19" spans="1:12">
      <c r="A19" s="38">
        <v>10</v>
      </c>
      <c r="B19" s="54" t="s">
        <v>55</v>
      </c>
      <c r="C19" s="54" t="s">
        <v>25</v>
      </c>
      <c r="D19" s="54" t="s">
        <v>53</v>
      </c>
      <c r="E19" s="54" t="s">
        <v>106</v>
      </c>
      <c r="F19" s="38">
        <v>77.6</v>
      </c>
      <c r="G19" s="54">
        <v>76</v>
      </c>
      <c r="H19" s="38">
        <f t="shared" si="1"/>
        <v>76.32</v>
      </c>
      <c r="I19" s="38">
        <f t="shared" si="2"/>
        <v>83</v>
      </c>
      <c r="J19" s="38">
        <f t="shared" si="3"/>
        <v>83</v>
      </c>
      <c r="K19" s="38">
        <f t="shared" si="4"/>
        <v>82.29</v>
      </c>
      <c r="L19" s="38">
        <f t="shared" si="5"/>
        <v>84.14</v>
      </c>
    </row>
    <row r="20" spans="1:12">
      <c r="A20" s="38">
        <v>11</v>
      </c>
      <c r="B20" s="54" t="s">
        <v>55</v>
      </c>
      <c r="C20" s="54" t="s">
        <v>25</v>
      </c>
      <c r="D20" s="54" t="s">
        <v>53</v>
      </c>
      <c r="E20" s="54" t="s">
        <v>106</v>
      </c>
      <c r="F20" s="38">
        <v>80.9</v>
      </c>
      <c r="G20" s="54">
        <v>56</v>
      </c>
      <c r="H20" s="38">
        <f t="shared" si="1"/>
        <v>60.98</v>
      </c>
      <c r="I20" s="38">
        <f t="shared" si="2"/>
        <v>77</v>
      </c>
      <c r="J20" s="38">
        <f t="shared" si="3"/>
        <v>77</v>
      </c>
      <c r="K20" s="38">
        <f t="shared" si="4"/>
        <v>82.89</v>
      </c>
      <c r="L20" s="38">
        <f t="shared" si="5"/>
        <v>72.71</v>
      </c>
    </row>
    <row r="21" spans="1:12">
      <c r="A21" s="38">
        <v>12</v>
      </c>
      <c r="B21" s="54" t="s">
        <v>57</v>
      </c>
      <c r="C21" s="54" t="s">
        <v>25</v>
      </c>
      <c r="D21" s="54" t="s">
        <v>54</v>
      </c>
      <c r="E21" s="54" t="s">
        <v>110</v>
      </c>
      <c r="F21" s="38">
        <v>63.6</v>
      </c>
      <c r="G21" s="54">
        <v>66</v>
      </c>
      <c r="H21" s="38">
        <f t="shared" si="1"/>
        <v>65.52</v>
      </c>
      <c r="I21" s="38">
        <f t="shared" si="2"/>
        <v>81</v>
      </c>
      <c r="J21" s="38">
        <f t="shared" si="3"/>
        <v>81</v>
      </c>
      <c r="K21" s="38">
        <f t="shared" si="4"/>
        <v>82.47</v>
      </c>
      <c r="L21" s="38">
        <f t="shared" si="5"/>
        <v>79.5</v>
      </c>
    </row>
    <row r="22" spans="1:12">
      <c r="A22" s="38">
        <v>13</v>
      </c>
      <c r="B22" s="54" t="s">
        <v>55</v>
      </c>
      <c r="C22" s="54" t="s">
        <v>25</v>
      </c>
      <c r="D22" s="54" t="s">
        <v>54</v>
      </c>
      <c r="E22" s="54" t="s">
        <v>107</v>
      </c>
      <c r="F22" s="38">
        <v>74.1</v>
      </c>
      <c r="G22" s="54">
        <v>48</v>
      </c>
      <c r="H22" s="38">
        <f t="shared" si="1"/>
        <v>53.22</v>
      </c>
      <c r="I22" s="38">
        <f t="shared" si="2"/>
        <v>75</v>
      </c>
      <c r="J22" s="38">
        <f t="shared" si="3"/>
        <v>75</v>
      </c>
      <c r="K22" s="38">
        <f t="shared" si="4"/>
        <v>81.65</v>
      </c>
      <c r="L22" s="38">
        <f t="shared" si="5"/>
        <v>69.21</v>
      </c>
    </row>
    <row r="23" spans="1:12">
      <c r="A23" s="38">
        <v>14</v>
      </c>
      <c r="B23" s="54" t="s">
        <v>62</v>
      </c>
      <c r="C23" s="54" t="s">
        <v>25</v>
      </c>
      <c r="D23" s="54" t="s">
        <v>54</v>
      </c>
      <c r="E23" s="54" t="s">
        <v>112</v>
      </c>
      <c r="F23" s="38">
        <v>82.6</v>
      </c>
      <c r="G23" s="54">
        <v>76</v>
      </c>
      <c r="H23" s="38">
        <f t="shared" si="1"/>
        <v>77.32</v>
      </c>
      <c r="I23" s="38">
        <f t="shared" si="2"/>
        <v>89</v>
      </c>
      <c r="J23" s="38">
        <f t="shared" si="3"/>
        <v>89</v>
      </c>
      <c r="K23" s="38">
        <f t="shared" si="4"/>
        <v>92.75</v>
      </c>
      <c r="L23" s="38">
        <f t="shared" si="5"/>
        <v>85.21</v>
      </c>
    </row>
    <row r="24" spans="1:12">
      <c r="A24" s="38">
        <v>15</v>
      </c>
      <c r="B24" s="54" t="s">
        <v>55</v>
      </c>
      <c r="C24" s="54" t="s">
        <v>25</v>
      </c>
      <c r="D24" s="54" t="s">
        <v>53</v>
      </c>
      <c r="E24" s="54" t="s">
        <v>106</v>
      </c>
      <c r="F24" s="38">
        <v>81.1</v>
      </c>
      <c r="G24" s="54">
        <v>74</v>
      </c>
      <c r="H24" s="38">
        <f t="shared" si="1"/>
        <v>75.42</v>
      </c>
      <c r="I24" s="38">
        <f t="shared" si="2"/>
        <v>83</v>
      </c>
      <c r="J24" s="38">
        <f t="shared" si="3"/>
        <v>83</v>
      </c>
      <c r="K24" s="38">
        <f t="shared" si="4"/>
        <v>82.93</v>
      </c>
      <c r="L24" s="38">
        <f t="shared" si="5"/>
        <v>83</v>
      </c>
    </row>
    <row r="25" spans="1:12">
      <c r="A25" s="38">
        <v>16</v>
      </c>
      <c r="B25" s="54" t="s">
        <v>63</v>
      </c>
      <c r="C25" s="54" t="s">
        <v>25</v>
      </c>
      <c r="D25" s="54" t="s">
        <v>55</v>
      </c>
      <c r="E25" s="54" t="s">
        <v>105</v>
      </c>
      <c r="F25" s="38">
        <v>83.2</v>
      </c>
      <c r="G25" s="54">
        <v>88</v>
      </c>
      <c r="H25" s="38">
        <f t="shared" si="1"/>
        <v>87.04</v>
      </c>
      <c r="I25" s="38">
        <f t="shared" si="2"/>
        <v>94</v>
      </c>
      <c r="J25" s="38">
        <f t="shared" si="3"/>
        <v>94</v>
      </c>
      <c r="K25" s="38">
        <f t="shared" si="4"/>
        <v>94.22</v>
      </c>
      <c r="L25" s="38">
        <f t="shared" si="5"/>
        <v>93.14</v>
      </c>
    </row>
    <row r="26" spans="1:12">
      <c r="A26" s="38">
        <v>17</v>
      </c>
      <c r="B26" s="54" t="s">
        <v>54</v>
      </c>
      <c r="C26" s="54" t="s">
        <v>21</v>
      </c>
      <c r="D26" s="54" t="s">
        <v>53</v>
      </c>
      <c r="E26" s="54" t="s">
        <v>98</v>
      </c>
      <c r="F26" s="38">
        <v>63.6</v>
      </c>
      <c r="G26" s="54">
        <v>56</v>
      </c>
      <c r="H26" s="38">
        <f t="shared" si="1"/>
        <v>57.52</v>
      </c>
      <c r="I26" s="38">
        <f t="shared" si="2"/>
        <v>73</v>
      </c>
      <c r="J26" s="38">
        <f t="shared" si="3"/>
        <v>73</v>
      </c>
      <c r="K26" s="38">
        <f t="shared" si="4"/>
        <v>72.93</v>
      </c>
      <c r="L26" s="38">
        <f t="shared" si="5"/>
        <v>72.71</v>
      </c>
    </row>
    <row r="27" spans="1:12">
      <c r="A27" s="38">
        <v>18</v>
      </c>
      <c r="B27" s="54" t="s">
        <v>55</v>
      </c>
      <c r="C27" s="54" t="s">
        <v>25</v>
      </c>
      <c r="D27" s="54" t="s">
        <v>54</v>
      </c>
      <c r="E27" s="54" t="s">
        <v>107</v>
      </c>
      <c r="F27" s="38">
        <v>70.6</v>
      </c>
      <c r="G27" s="54">
        <v>86</v>
      </c>
      <c r="H27" s="38">
        <f t="shared" si="1"/>
        <v>82.92</v>
      </c>
      <c r="I27" s="38">
        <f t="shared" si="2"/>
        <v>87</v>
      </c>
      <c r="J27" s="38">
        <f t="shared" si="3"/>
        <v>87</v>
      </c>
      <c r="K27" s="38">
        <f t="shared" si="4"/>
        <v>81.02</v>
      </c>
      <c r="L27" s="38">
        <f t="shared" si="5"/>
        <v>90.93</v>
      </c>
    </row>
    <row r="28" spans="1:12">
      <c r="A28" s="38">
        <v>19</v>
      </c>
      <c r="B28" s="54" t="s">
        <v>57</v>
      </c>
      <c r="C28" s="54" t="s">
        <v>25</v>
      </c>
      <c r="D28" s="54" t="s">
        <v>53</v>
      </c>
      <c r="E28" s="54" t="s">
        <v>113</v>
      </c>
      <c r="F28" s="38">
        <v>77.6</v>
      </c>
      <c r="G28" s="54">
        <v>76</v>
      </c>
      <c r="H28" s="38">
        <f t="shared" si="1"/>
        <v>76.32</v>
      </c>
      <c r="I28" s="38">
        <f t="shared" si="2"/>
        <v>85</v>
      </c>
      <c r="J28" s="38">
        <f t="shared" si="3"/>
        <v>85</v>
      </c>
      <c r="K28" s="38">
        <f t="shared" si="4"/>
        <v>85.02</v>
      </c>
      <c r="L28" s="38">
        <f t="shared" si="5"/>
        <v>84.14</v>
      </c>
    </row>
    <row r="29" spans="1:12">
      <c r="A29" s="38">
        <v>20</v>
      </c>
      <c r="B29" s="54" t="s">
        <v>57</v>
      </c>
      <c r="C29" s="54" t="s">
        <v>25</v>
      </c>
      <c r="D29" s="54" t="s">
        <v>55</v>
      </c>
      <c r="E29" s="54" t="s">
        <v>114</v>
      </c>
      <c r="F29" s="38">
        <v>82.3</v>
      </c>
      <c r="G29" s="54">
        <v>66</v>
      </c>
      <c r="H29" s="38">
        <f t="shared" si="1"/>
        <v>69.26</v>
      </c>
      <c r="I29" s="38">
        <f t="shared" si="2"/>
        <v>83</v>
      </c>
      <c r="J29" s="38">
        <f t="shared" si="3"/>
        <v>83</v>
      </c>
      <c r="K29" s="38">
        <f t="shared" si="4"/>
        <v>85.87</v>
      </c>
      <c r="L29" s="38">
        <f t="shared" si="5"/>
        <v>80.57</v>
      </c>
    </row>
    <row r="30" spans="1:12">
      <c r="A30" s="38">
        <v>21</v>
      </c>
      <c r="B30" s="54" t="s">
        <v>56</v>
      </c>
      <c r="C30" s="54" t="s">
        <v>25</v>
      </c>
      <c r="D30" s="54" t="s">
        <v>53</v>
      </c>
      <c r="E30" s="54" t="s">
        <v>107</v>
      </c>
      <c r="F30" s="38">
        <v>83.2</v>
      </c>
      <c r="G30" s="54">
        <v>88</v>
      </c>
      <c r="H30" s="38">
        <f t="shared" si="1"/>
        <v>87.04</v>
      </c>
      <c r="I30" s="38">
        <f t="shared" si="2"/>
        <v>88</v>
      </c>
      <c r="J30" s="38">
        <f t="shared" si="3"/>
        <v>88</v>
      </c>
      <c r="K30" s="38">
        <f t="shared" si="4"/>
        <v>84.67</v>
      </c>
      <c r="L30" s="38">
        <f t="shared" si="5"/>
        <v>91</v>
      </c>
    </row>
    <row r="31" spans="1:12">
      <c r="A31" s="38">
        <v>22</v>
      </c>
      <c r="B31" s="54" t="s">
        <v>55</v>
      </c>
      <c r="C31" s="54" t="s">
        <v>25</v>
      </c>
      <c r="D31" s="54" t="s">
        <v>55</v>
      </c>
      <c r="E31" s="54" t="s">
        <v>113</v>
      </c>
      <c r="F31" s="38">
        <v>88.2</v>
      </c>
      <c r="G31" s="54">
        <v>78</v>
      </c>
      <c r="H31" s="38">
        <f t="shared" si="1"/>
        <v>80.04</v>
      </c>
      <c r="I31" s="38">
        <f t="shared" si="2"/>
        <v>86</v>
      </c>
      <c r="J31" s="38">
        <f t="shared" si="3"/>
        <v>86</v>
      </c>
      <c r="K31" s="38">
        <f t="shared" si="4"/>
        <v>84.22</v>
      </c>
      <c r="L31" s="38">
        <f t="shared" si="5"/>
        <v>87.43</v>
      </c>
    </row>
    <row r="32" spans="1:12">
      <c r="A32" s="38">
        <v>23</v>
      </c>
      <c r="B32" s="54" t="s">
        <v>55</v>
      </c>
      <c r="C32" s="54" t="s">
        <v>25</v>
      </c>
      <c r="D32" s="54" t="s">
        <v>54</v>
      </c>
      <c r="E32" s="54" t="s">
        <v>107</v>
      </c>
      <c r="F32" s="38">
        <v>79</v>
      </c>
      <c r="G32" s="54">
        <v>58</v>
      </c>
      <c r="H32" s="38">
        <f t="shared" si="1"/>
        <v>62.2</v>
      </c>
      <c r="I32" s="38">
        <f t="shared" si="2"/>
        <v>78</v>
      </c>
      <c r="J32" s="38">
        <f t="shared" si="3"/>
        <v>78</v>
      </c>
      <c r="K32" s="38">
        <f t="shared" si="4"/>
        <v>82.55</v>
      </c>
      <c r="L32" s="38">
        <f t="shared" si="5"/>
        <v>74.93</v>
      </c>
    </row>
    <row r="33" spans="1:12">
      <c r="A33" s="38">
        <v>24</v>
      </c>
      <c r="B33" s="54" t="s">
        <v>55</v>
      </c>
      <c r="C33" s="54" t="s">
        <v>25</v>
      </c>
      <c r="D33" s="54" t="s">
        <v>53</v>
      </c>
      <c r="E33" s="54" t="s">
        <v>106</v>
      </c>
      <c r="F33" s="38">
        <v>49</v>
      </c>
      <c r="G33" s="54">
        <v>62</v>
      </c>
      <c r="H33" s="38">
        <f t="shared" si="1"/>
        <v>59.4</v>
      </c>
      <c r="I33" s="38">
        <f t="shared" si="2"/>
        <v>77</v>
      </c>
      <c r="J33" s="38">
        <f t="shared" si="3"/>
        <v>77</v>
      </c>
      <c r="K33" s="38">
        <f t="shared" si="4"/>
        <v>77.09</v>
      </c>
      <c r="L33" s="38">
        <f t="shared" si="5"/>
        <v>76.14</v>
      </c>
    </row>
    <row r="34" spans="1:12">
      <c r="A34" s="38">
        <v>25</v>
      </c>
      <c r="B34" s="54" t="s">
        <v>57</v>
      </c>
      <c r="C34" s="54" t="s">
        <v>25</v>
      </c>
      <c r="D34" s="54" t="s">
        <v>55</v>
      </c>
      <c r="E34" s="54" t="s">
        <v>114</v>
      </c>
      <c r="F34" s="38">
        <v>56</v>
      </c>
      <c r="G34" s="54">
        <v>76</v>
      </c>
      <c r="H34" s="38">
        <f t="shared" si="1"/>
        <v>72</v>
      </c>
      <c r="I34" s="38">
        <f t="shared" si="2"/>
        <v>84</v>
      </c>
      <c r="J34" s="38">
        <f t="shared" si="3"/>
        <v>84</v>
      </c>
      <c r="K34" s="38">
        <f t="shared" si="4"/>
        <v>81.09</v>
      </c>
      <c r="L34" s="38">
        <f t="shared" si="5"/>
        <v>86.29</v>
      </c>
    </row>
    <row r="35" spans="1:12">
      <c r="A35" s="38">
        <v>26</v>
      </c>
      <c r="B35" s="54" t="s">
        <v>64</v>
      </c>
      <c r="C35" s="54" t="s">
        <v>25</v>
      </c>
      <c r="D35" s="54" t="s">
        <v>55</v>
      </c>
      <c r="E35" s="54" t="s">
        <v>108</v>
      </c>
      <c r="F35" s="38">
        <v>83.5</v>
      </c>
      <c r="G35" s="54">
        <v>92</v>
      </c>
      <c r="H35" s="38">
        <f t="shared" si="1"/>
        <v>90.3</v>
      </c>
      <c r="I35" s="38">
        <f t="shared" si="2"/>
        <v>96</v>
      </c>
      <c r="J35" s="38">
        <f t="shared" si="3"/>
        <v>96</v>
      </c>
      <c r="K35" s="38">
        <f t="shared" si="4"/>
        <v>95.64</v>
      </c>
      <c r="L35" s="38">
        <f t="shared" si="5"/>
        <v>95.43</v>
      </c>
    </row>
    <row r="36" spans="1:12">
      <c r="A36" s="38">
        <v>27</v>
      </c>
      <c r="B36" s="54" t="s">
        <v>64</v>
      </c>
      <c r="C36" s="54" t="s">
        <v>25</v>
      </c>
      <c r="D36" s="54" t="s">
        <v>53</v>
      </c>
      <c r="E36" s="54" t="s">
        <v>111</v>
      </c>
      <c r="F36" s="38">
        <v>81.2</v>
      </c>
      <c r="G36" s="54">
        <v>88</v>
      </c>
      <c r="H36" s="38">
        <f t="shared" si="1"/>
        <v>86.64</v>
      </c>
      <c r="I36" s="38">
        <f t="shared" si="2"/>
        <v>93</v>
      </c>
      <c r="J36" s="38">
        <f t="shared" si="3"/>
        <v>93</v>
      </c>
      <c r="K36" s="38">
        <f t="shared" si="4"/>
        <v>95.22</v>
      </c>
      <c r="L36" s="38">
        <f t="shared" si="5"/>
        <v>91</v>
      </c>
    </row>
    <row r="37" spans="1:12">
      <c r="A37" s="38">
        <v>28</v>
      </c>
      <c r="B37" s="54" t="s">
        <v>64</v>
      </c>
      <c r="C37" s="54" t="s">
        <v>25</v>
      </c>
      <c r="D37" s="54" t="s">
        <v>55</v>
      </c>
      <c r="E37" s="54" t="s">
        <v>108</v>
      </c>
      <c r="F37" s="38">
        <v>84.7</v>
      </c>
      <c r="G37" s="54">
        <v>84</v>
      </c>
      <c r="H37" s="38">
        <f t="shared" si="1"/>
        <v>84.14</v>
      </c>
      <c r="I37" s="38">
        <f t="shared" si="2"/>
        <v>93</v>
      </c>
      <c r="J37" s="38">
        <f t="shared" si="3"/>
        <v>93</v>
      </c>
      <c r="K37" s="38">
        <f t="shared" si="4"/>
        <v>95.85</v>
      </c>
      <c r="L37" s="38">
        <f t="shared" si="5"/>
        <v>90.86</v>
      </c>
    </row>
    <row r="38" spans="1:12">
      <c r="A38" s="38">
        <v>29</v>
      </c>
      <c r="B38" s="38">
        <f>50*0.6</f>
        <v>30</v>
      </c>
      <c r="C38" s="38">
        <f>10*0.6</f>
        <v>6</v>
      </c>
      <c r="D38" s="38">
        <f>40*0.6</f>
        <v>24</v>
      </c>
      <c r="E38" s="38">
        <f>SUM(B38:D38)</f>
        <v>60</v>
      </c>
      <c r="F38" s="38">
        <v>76.2</v>
      </c>
      <c r="G38" s="55">
        <v>80</v>
      </c>
      <c r="H38" s="38">
        <f t="shared" si="1"/>
        <v>79.24</v>
      </c>
      <c r="I38" s="38">
        <f t="shared" si="2"/>
        <v>68</v>
      </c>
      <c r="J38" s="38">
        <f t="shared" si="3"/>
        <v>68</v>
      </c>
      <c r="K38" s="38">
        <f t="shared" si="4"/>
        <v>62.95</v>
      </c>
      <c r="L38" s="38">
        <f t="shared" si="5"/>
        <v>71.43</v>
      </c>
    </row>
    <row r="39" spans="1:12">
      <c r="A39" s="38">
        <v>30</v>
      </c>
      <c r="B39" s="54" t="s">
        <v>64</v>
      </c>
      <c r="C39" s="54" t="s">
        <v>25</v>
      </c>
      <c r="D39" s="54" t="s">
        <v>53</v>
      </c>
      <c r="E39" s="54" t="s">
        <v>111</v>
      </c>
      <c r="F39" s="38">
        <v>90.9</v>
      </c>
      <c r="G39" s="54">
        <v>88</v>
      </c>
      <c r="H39" s="38">
        <f t="shared" si="1"/>
        <v>88.58</v>
      </c>
      <c r="I39" s="38">
        <f t="shared" si="2"/>
        <v>94</v>
      </c>
      <c r="J39" s="38">
        <f t="shared" si="3"/>
        <v>94</v>
      </c>
      <c r="K39" s="38">
        <f t="shared" si="4"/>
        <v>96.98</v>
      </c>
      <c r="L39" s="38">
        <f t="shared" si="5"/>
        <v>91</v>
      </c>
    </row>
    <row r="40" spans="1:12">
      <c r="A40" s="38">
        <v>31</v>
      </c>
      <c r="B40" s="54" t="s">
        <v>61</v>
      </c>
      <c r="C40" s="54" t="s">
        <v>25</v>
      </c>
      <c r="D40" s="54" t="s">
        <v>53</v>
      </c>
      <c r="E40" s="54" t="s">
        <v>115</v>
      </c>
      <c r="F40" s="38">
        <v>59.5</v>
      </c>
      <c r="G40" s="54">
        <v>84</v>
      </c>
      <c r="H40" s="38">
        <f t="shared" si="1"/>
        <v>79.1</v>
      </c>
      <c r="I40" s="38">
        <f t="shared" si="2"/>
        <v>88</v>
      </c>
      <c r="J40" s="38">
        <f t="shared" si="3"/>
        <v>88</v>
      </c>
      <c r="K40" s="38">
        <f t="shared" si="4"/>
        <v>87.18</v>
      </c>
      <c r="L40" s="38">
        <f t="shared" si="5"/>
        <v>88.71</v>
      </c>
    </row>
    <row r="41" spans="1:12">
      <c r="A41" s="38">
        <v>32</v>
      </c>
      <c r="B41" s="54" t="s">
        <v>63</v>
      </c>
      <c r="C41" s="54" t="s">
        <v>25</v>
      </c>
      <c r="D41" s="54" t="s">
        <v>53</v>
      </c>
      <c r="E41" s="54" t="s">
        <v>112</v>
      </c>
      <c r="F41" s="38">
        <v>84.7</v>
      </c>
      <c r="G41" s="54">
        <v>84</v>
      </c>
      <c r="H41" s="38">
        <f t="shared" si="1"/>
        <v>84.14</v>
      </c>
      <c r="I41" s="38">
        <f t="shared" si="2"/>
        <v>91</v>
      </c>
      <c r="J41" s="38">
        <f t="shared" si="3"/>
        <v>91</v>
      </c>
      <c r="K41" s="38">
        <f t="shared" si="4"/>
        <v>94.49</v>
      </c>
      <c r="L41" s="38">
        <f t="shared" si="5"/>
        <v>88.71</v>
      </c>
    </row>
    <row r="42" spans="1:12">
      <c r="A42" s="38">
        <v>33</v>
      </c>
      <c r="B42" s="54" t="s">
        <v>64</v>
      </c>
      <c r="C42" s="54" t="s">
        <v>24</v>
      </c>
      <c r="D42" s="54" t="s">
        <v>54</v>
      </c>
      <c r="E42" s="54" t="s">
        <v>111</v>
      </c>
      <c r="F42" s="38">
        <v>59.5</v>
      </c>
      <c r="G42" s="54">
        <v>94</v>
      </c>
      <c r="H42" s="38">
        <f t="shared" si="1"/>
        <v>87.1</v>
      </c>
      <c r="I42" s="38">
        <f t="shared" si="2"/>
        <v>93</v>
      </c>
      <c r="J42" s="38">
        <f t="shared" si="3"/>
        <v>93</v>
      </c>
      <c r="K42" s="38">
        <f t="shared" si="4"/>
        <v>89.91</v>
      </c>
      <c r="L42" s="38">
        <f t="shared" si="5"/>
        <v>95.5</v>
      </c>
    </row>
    <row r="43" spans="1:12">
      <c r="A43" s="38">
        <v>34</v>
      </c>
      <c r="B43" s="54" t="s">
        <v>60</v>
      </c>
      <c r="C43" s="54" t="s">
        <v>25</v>
      </c>
      <c r="D43" s="54" t="s">
        <v>55</v>
      </c>
      <c r="E43" s="54" t="s">
        <v>116</v>
      </c>
      <c r="F43" s="38">
        <v>81.1</v>
      </c>
      <c r="G43" s="54">
        <v>82</v>
      </c>
      <c r="H43" s="38">
        <f t="shared" si="1"/>
        <v>81.82</v>
      </c>
      <c r="I43" s="38">
        <f t="shared" si="2"/>
        <v>90</v>
      </c>
      <c r="J43" s="38">
        <f t="shared" si="3"/>
        <v>90</v>
      </c>
      <c r="K43" s="38">
        <f t="shared" si="4"/>
        <v>89.75</v>
      </c>
      <c r="L43" s="38">
        <f t="shared" si="5"/>
        <v>89.71</v>
      </c>
    </row>
    <row r="44" spans="1:12">
      <c r="A44" s="38">
        <v>35</v>
      </c>
      <c r="B44" s="44" t="s">
        <v>56</v>
      </c>
      <c r="C44" s="44" t="s">
        <v>25</v>
      </c>
      <c r="D44" s="44" t="s">
        <v>52</v>
      </c>
      <c r="E44" s="44" t="s">
        <v>106</v>
      </c>
      <c r="F44" s="38">
        <v>84.8</v>
      </c>
      <c r="G44" s="54">
        <v>42</v>
      </c>
      <c r="H44" s="38">
        <f t="shared" si="1"/>
        <v>50.56</v>
      </c>
      <c r="I44" s="38">
        <f t="shared" si="2"/>
        <v>73</v>
      </c>
      <c r="J44" s="38">
        <f t="shared" si="3"/>
        <v>73</v>
      </c>
      <c r="K44" s="38">
        <f t="shared" si="4"/>
        <v>84.96</v>
      </c>
      <c r="L44" s="38">
        <f t="shared" si="5"/>
        <v>63.64</v>
      </c>
    </row>
    <row r="45" spans="1:12">
      <c r="A45" s="38">
        <v>36</v>
      </c>
      <c r="B45" s="44" t="s">
        <v>56</v>
      </c>
      <c r="C45" s="44" t="s">
        <v>25</v>
      </c>
      <c r="D45" s="44" t="s">
        <v>51</v>
      </c>
      <c r="E45" s="44" t="s">
        <v>109</v>
      </c>
      <c r="F45" s="38">
        <v>80</v>
      </c>
      <c r="G45" s="54">
        <v>56</v>
      </c>
      <c r="H45" s="38">
        <f t="shared" si="1"/>
        <v>60.8</v>
      </c>
      <c r="I45" s="38">
        <f t="shared" si="2"/>
        <v>77</v>
      </c>
      <c r="J45" s="38">
        <f t="shared" si="3"/>
        <v>77</v>
      </c>
      <c r="K45" s="38">
        <f t="shared" si="4"/>
        <v>84.09</v>
      </c>
      <c r="L45" s="38">
        <f t="shared" si="5"/>
        <v>70.57</v>
      </c>
    </row>
    <row r="46" spans="1:12">
      <c r="A46" s="38">
        <v>37</v>
      </c>
      <c r="B46" s="44" t="s">
        <v>55</v>
      </c>
      <c r="C46" s="44" t="s">
        <v>25</v>
      </c>
      <c r="D46" s="44" t="s">
        <v>54</v>
      </c>
      <c r="E46" s="44" t="s">
        <v>107</v>
      </c>
      <c r="F46" s="38">
        <v>77.6</v>
      </c>
      <c r="G46" s="54">
        <v>54</v>
      </c>
      <c r="H46" s="38">
        <f t="shared" si="1"/>
        <v>58.72</v>
      </c>
      <c r="I46" s="38">
        <f t="shared" si="2"/>
        <v>77</v>
      </c>
      <c r="J46" s="38">
        <f t="shared" si="3"/>
        <v>77</v>
      </c>
      <c r="K46" s="38">
        <f t="shared" si="4"/>
        <v>82.29</v>
      </c>
      <c r="L46" s="38">
        <f t="shared" si="5"/>
        <v>72.64</v>
      </c>
    </row>
    <row r="47" spans="1:12">
      <c r="A47" s="38">
        <v>38</v>
      </c>
      <c r="B47" s="44" t="s">
        <v>57</v>
      </c>
      <c r="C47" s="44" t="s">
        <v>25</v>
      </c>
      <c r="D47" s="44" t="s">
        <v>55</v>
      </c>
      <c r="E47" s="44" t="s">
        <v>114</v>
      </c>
      <c r="F47" s="38">
        <v>80</v>
      </c>
      <c r="G47" s="54">
        <v>50</v>
      </c>
      <c r="H47" s="38">
        <f t="shared" si="1"/>
        <v>56</v>
      </c>
      <c r="I47" s="38">
        <f t="shared" si="2"/>
        <v>78</v>
      </c>
      <c r="J47" s="38">
        <f t="shared" si="3"/>
        <v>78</v>
      </c>
      <c r="K47" s="38">
        <f t="shared" si="4"/>
        <v>85.45</v>
      </c>
      <c r="L47" s="38">
        <f t="shared" si="5"/>
        <v>71.43</v>
      </c>
    </row>
    <row r="48" spans="1:12">
      <c r="A48" s="38">
        <v>39</v>
      </c>
      <c r="B48" s="44" t="s">
        <v>52</v>
      </c>
      <c r="C48" s="44" t="s">
        <v>117</v>
      </c>
      <c r="D48" s="44" t="s">
        <v>53</v>
      </c>
      <c r="E48" s="44" t="s">
        <v>90</v>
      </c>
      <c r="F48" s="38">
        <v>70.6</v>
      </c>
      <c r="G48" s="54">
        <v>48</v>
      </c>
      <c r="H48" s="38">
        <f t="shared" si="1"/>
        <v>52.52</v>
      </c>
      <c r="I48" s="38">
        <f t="shared" si="2"/>
        <v>66</v>
      </c>
      <c r="J48" s="38">
        <f t="shared" si="3"/>
        <v>66</v>
      </c>
      <c r="K48" s="38">
        <f t="shared" si="4"/>
        <v>63.29</v>
      </c>
      <c r="L48" s="38">
        <f t="shared" si="5"/>
        <v>68.14</v>
      </c>
    </row>
    <row r="49" spans="1:12">
      <c r="A49" s="38">
        <v>40</v>
      </c>
      <c r="B49" s="44" t="s">
        <v>55</v>
      </c>
      <c r="C49" s="44" t="s">
        <v>24</v>
      </c>
      <c r="D49" s="44" t="s">
        <v>49</v>
      </c>
      <c r="E49" s="44" t="s">
        <v>98</v>
      </c>
      <c r="F49" s="38">
        <v>56</v>
      </c>
      <c r="G49" s="54">
        <v>44</v>
      </c>
      <c r="H49" s="38">
        <f t="shared" si="1"/>
        <v>46.4</v>
      </c>
      <c r="I49" s="38">
        <f t="shared" si="2"/>
        <v>68</v>
      </c>
      <c r="J49" s="38">
        <f t="shared" si="3"/>
        <v>68</v>
      </c>
      <c r="K49" s="38">
        <f t="shared" si="4"/>
        <v>77</v>
      </c>
      <c r="L49" s="38">
        <f t="shared" si="5"/>
        <v>61.57</v>
      </c>
    </row>
    <row r="50" spans="1:12">
      <c r="A50" s="38">
        <v>41</v>
      </c>
      <c r="B50" s="44" t="s">
        <v>64</v>
      </c>
      <c r="C50" s="44" t="s">
        <v>25</v>
      </c>
      <c r="D50" s="44" t="s">
        <v>53</v>
      </c>
      <c r="E50" s="44" t="s">
        <v>111</v>
      </c>
      <c r="F50" s="38">
        <v>78.8</v>
      </c>
      <c r="G50" s="54">
        <v>70</v>
      </c>
      <c r="H50" s="38">
        <f t="shared" si="1"/>
        <v>71.76</v>
      </c>
      <c r="I50" s="38">
        <f t="shared" si="2"/>
        <v>87</v>
      </c>
      <c r="J50" s="38">
        <f t="shared" si="3"/>
        <v>87</v>
      </c>
      <c r="K50" s="38">
        <f t="shared" si="4"/>
        <v>94.78</v>
      </c>
      <c r="L50" s="38">
        <f t="shared" si="5"/>
        <v>80.71</v>
      </c>
    </row>
    <row r="51" spans="1:12">
      <c r="A51" s="38">
        <v>42</v>
      </c>
      <c r="B51" s="44" t="s">
        <v>59</v>
      </c>
      <c r="C51" s="44" t="s">
        <v>25</v>
      </c>
      <c r="D51" s="44" t="s">
        <v>54</v>
      </c>
      <c r="E51" s="44" t="s">
        <v>118</v>
      </c>
      <c r="F51" s="38">
        <v>77.6</v>
      </c>
      <c r="G51" s="54">
        <v>36</v>
      </c>
      <c r="H51" s="38">
        <f t="shared" si="1"/>
        <v>44.32</v>
      </c>
      <c r="I51" s="38">
        <f t="shared" si="2"/>
        <v>74</v>
      </c>
      <c r="J51" s="38">
        <f t="shared" si="3"/>
        <v>74</v>
      </c>
      <c r="K51" s="38">
        <f t="shared" si="4"/>
        <v>87.75</v>
      </c>
      <c r="L51" s="38">
        <f t="shared" si="5"/>
        <v>62.36</v>
      </c>
    </row>
    <row r="52" spans="1:12">
      <c r="A52" s="38">
        <v>43</v>
      </c>
      <c r="B52" s="44" t="s">
        <v>59</v>
      </c>
      <c r="C52" s="44" t="s">
        <v>25</v>
      </c>
      <c r="D52" s="44" t="s">
        <v>54</v>
      </c>
      <c r="E52" s="44" t="s">
        <v>118</v>
      </c>
      <c r="F52" s="38">
        <v>56</v>
      </c>
      <c r="G52" s="54">
        <v>50</v>
      </c>
      <c r="H52" s="38">
        <f t="shared" si="1"/>
        <v>51.2</v>
      </c>
      <c r="I52" s="38">
        <f t="shared" si="2"/>
        <v>76</v>
      </c>
      <c r="J52" s="38">
        <f t="shared" si="3"/>
        <v>76</v>
      </c>
      <c r="K52" s="38">
        <f t="shared" si="4"/>
        <v>83.82</v>
      </c>
      <c r="L52" s="38">
        <f t="shared" si="5"/>
        <v>70.36</v>
      </c>
    </row>
    <row r="53" spans="1:12">
      <c r="A53" s="38">
        <v>44</v>
      </c>
      <c r="B53" s="44" t="s">
        <v>64</v>
      </c>
      <c r="C53" s="44" t="s">
        <v>25</v>
      </c>
      <c r="D53" s="44" t="s">
        <v>55</v>
      </c>
      <c r="E53" s="44" t="s">
        <v>108</v>
      </c>
      <c r="F53" s="38">
        <v>77.6</v>
      </c>
      <c r="G53" s="54">
        <v>56</v>
      </c>
      <c r="H53" s="38">
        <f t="shared" si="1"/>
        <v>60.32</v>
      </c>
      <c r="I53" s="38">
        <f t="shared" si="2"/>
        <v>84</v>
      </c>
      <c r="J53" s="38">
        <f t="shared" si="3"/>
        <v>84</v>
      </c>
      <c r="K53" s="38">
        <f t="shared" si="4"/>
        <v>94.56</v>
      </c>
      <c r="L53" s="38">
        <f t="shared" si="5"/>
        <v>74.86</v>
      </c>
    </row>
    <row r="54" spans="1:12">
      <c r="A54" s="38">
        <v>45</v>
      </c>
      <c r="B54" s="44" t="s">
        <v>55</v>
      </c>
      <c r="C54" s="44" t="s">
        <v>24</v>
      </c>
      <c r="D54" s="44" t="s">
        <v>52</v>
      </c>
      <c r="E54" s="44" t="s">
        <v>101</v>
      </c>
      <c r="F54" s="38">
        <v>42</v>
      </c>
      <c r="G54" s="54">
        <v>56</v>
      </c>
      <c r="H54" s="38">
        <f t="shared" si="1"/>
        <v>53.2</v>
      </c>
      <c r="I54" s="38">
        <f t="shared" si="2"/>
        <v>73</v>
      </c>
      <c r="J54" s="38">
        <f t="shared" si="3"/>
        <v>73</v>
      </c>
      <c r="K54" s="38">
        <f t="shared" si="4"/>
        <v>74.45</v>
      </c>
      <c r="L54" s="38">
        <f t="shared" si="5"/>
        <v>71.64</v>
      </c>
    </row>
    <row r="55" spans="1:12">
      <c r="A55" s="38">
        <v>46</v>
      </c>
      <c r="B55" s="44" t="s">
        <v>53</v>
      </c>
      <c r="C55" s="44" t="s">
        <v>19</v>
      </c>
      <c r="D55" s="44" t="s">
        <v>49</v>
      </c>
      <c r="E55" s="44" t="s">
        <v>91</v>
      </c>
      <c r="F55" s="38">
        <v>74.2</v>
      </c>
      <c r="G55" s="54">
        <v>36</v>
      </c>
      <c r="H55" s="38">
        <f t="shared" si="1"/>
        <v>43.64</v>
      </c>
      <c r="I55" s="38">
        <f t="shared" si="2"/>
        <v>63</v>
      </c>
      <c r="J55" s="38">
        <f t="shared" si="3"/>
        <v>63</v>
      </c>
      <c r="K55" s="38">
        <f t="shared" si="4"/>
        <v>70.76</v>
      </c>
      <c r="L55" s="38">
        <f t="shared" si="5"/>
        <v>57</v>
      </c>
    </row>
    <row r="56" spans="1:12">
      <c r="A56" s="38">
        <v>47</v>
      </c>
      <c r="B56" s="44" t="s">
        <v>58</v>
      </c>
      <c r="C56" s="44" t="s">
        <v>25</v>
      </c>
      <c r="D56" s="44" t="s">
        <v>53</v>
      </c>
      <c r="E56" s="44" t="s">
        <v>110</v>
      </c>
      <c r="F56" s="38">
        <v>77.6</v>
      </c>
      <c r="G56" s="54">
        <v>58</v>
      </c>
      <c r="H56" s="38">
        <f t="shared" si="1"/>
        <v>61.92</v>
      </c>
      <c r="I56" s="38">
        <f t="shared" si="2"/>
        <v>79</v>
      </c>
      <c r="J56" s="38">
        <f t="shared" si="3"/>
        <v>79</v>
      </c>
      <c r="K56" s="38">
        <f t="shared" si="4"/>
        <v>86.38</v>
      </c>
      <c r="L56" s="38">
        <f t="shared" si="5"/>
        <v>73.86</v>
      </c>
    </row>
    <row r="57" spans="1:12">
      <c r="A57" s="38">
        <v>48</v>
      </c>
      <c r="B57" s="44" t="s">
        <v>60</v>
      </c>
      <c r="C57" s="44" t="s">
        <v>25</v>
      </c>
      <c r="D57" s="44" t="s">
        <v>53</v>
      </c>
      <c r="E57" s="44" t="s">
        <v>118</v>
      </c>
      <c r="F57" s="38">
        <v>66.7</v>
      </c>
      <c r="G57" s="54">
        <v>54</v>
      </c>
      <c r="H57" s="38">
        <f t="shared" si="1"/>
        <v>56.54</v>
      </c>
      <c r="I57" s="38">
        <f t="shared" si="2"/>
        <v>78</v>
      </c>
      <c r="J57" s="38">
        <f t="shared" si="3"/>
        <v>78</v>
      </c>
      <c r="K57" s="38">
        <f t="shared" si="4"/>
        <v>87.13</v>
      </c>
      <c r="L57" s="38">
        <f t="shared" si="5"/>
        <v>71.57</v>
      </c>
    </row>
    <row r="58" spans="1:12">
      <c r="A58" s="38">
        <v>49</v>
      </c>
      <c r="B58" s="44" t="s">
        <v>64</v>
      </c>
      <c r="C58" s="44" t="s">
        <v>25</v>
      </c>
      <c r="D58" s="44" t="s">
        <v>51</v>
      </c>
      <c r="E58" s="44" t="s">
        <v>116</v>
      </c>
      <c r="F58" s="38">
        <v>77.6</v>
      </c>
      <c r="G58" s="54">
        <v>50</v>
      </c>
      <c r="H58" s="38">
        <f t="shared" si="1"/>
        <v>55.52</v>
      </c>
      <c r="I58" s="38">
        <f t="shared" si="2"/>
        <v>79</v>
      </c>
      <c r="J58" s="38">
        <f t="shared" si="3"/>
        <v>79</v>
      </c>
      <c r="K58" s="38">
        <f t="shared" si="4"/>
        <v>94.56</v>
      </c>
      <c r="L58" s="38">
        <f t="shared" si="5"/>
        <v>67.14</v>
      </c>
    </row>
    <row r="59" spans="1:12">
      <c r="A59" s="38">
        <v>50</v>
      </c>
      <c r="B59" s="44" t="s">
        <v>64</v>
      </c>
      <c r="C59" s="44" t="s">
        <v>25</v>
      </c>
      <c r="D59" s="44" t="s">
        <v>55</v>
      </c>
      <c r="E59" s="44" t="s">
        <v>108</v>
      </c>
      <c r="F59" s="38">
        <v>77.6</v>
      </c>
      <c r="G59" s="54">
        <v>72</v>
      </c>
      <c r="H59" s="38">
        <f t="shared" si="1"/>
        <v>73.12</v>
      </c>
      <c r="I59" s="38">
        <f t="shared" si="2"/>
        <v>89</v>
      </c>
      <c r="J59" s="38">
        <f t="shared" si="3"/>
        <v>89</v>
      </c>
      <c r="K59" s="38">
        <f t="shared" si="4"/>
        <v>94.56</v>
      </c>
      <c r="L59" s="38">
        <f t="shared" si="5"/>
        <v>84</v>
      </c>
    </row>
    <row r="60" spans="1:12">
      <c r="A60" s="38">
        <v>51</v>
      </c>
      <c r="B60" s="44" t="s">
        <v>64</v>
      </c>
      <c r="C60" s="44" t="s">
        <v>25</v>
      </c>
      <c r="D60" s="44" t="s">
        <v>53</v>
      </c>
      <c r="E60" s="44" t="s">
        <v>111</v>
      </c>
      <c r="F60" s="38">
        <v>77.6</v>
      </c>
      <c r="G60" s="54">
        <v>44</v>
      </c>
      <c r="H60" s="38">
        <f t="shared" si="1"/>
        <v>50.72</v>
      </c>
      <c r="I60" s="38">
        <f t="shared" si="2"/>
        <v>78</v>
      </c>
      <c r="J60" s="38">
        <f t="shared" si="3"/>
        <v>78</v>
      </c>
      <c r="K60" s="38">
        <f t="shared" si="4"/>
        <v>94.56</v>
      </c>
      <c r="L60" s="38">
        <f t="shared" si="5"/>
        <v>65.86</v>
      </c>
    </row>
    <row r="61" spans="1:12">
      <c r="A61" s="38">
        <v>52</v>
      </c>
      <c r="B61" s="44" t="s">
        <v>64</v>
      </c>
      <c r="C61" s="44" t="s">
        <v>25</v>
      </c>
      <c r="D61" s="44" t="s">
        <v>53</v>
      </c>
      <c r="E61" s="44" t="s">
        <v>111</v>
      </c>
      <c r="F61" s="38">
        <v>77.6</v>
      </c>
      <c r="G61" s="54">
        <v>32</v>
      </c>
      <c r="H61" s="38">
        <f t="shared" si="1"/>
        <v>41.12</v>
      </c>
      <c r="I61" s="38">
        <f t="shared" si="2"/>
        <v>75</v>
      </c>
      <c r="J61" s="38">
        <f t="shared" si="3"/>
        <v>75</v>
      </c>
      <c r="K61" s="38">
        <f t="shared" si="4"/>
        <v>94.56</v>
      </c>
      <c r="L61" s="38">
        <f t="shared" si="5"/>
        <v>59</v>
      </c>
    </row>
    <row r="62" spans="1:12">
      <c r="A62" s="38">
        <v>53</v>
      </c>
      <c r="B62" s="44" t="s">
        <v>64</v>
      </c>
      <c r="C62" s="44" t="s">
        <v>25</v>
      </c>
      <c r="D62" s="44" t="s">
        <v>52</v>
      </c>
      <c r="E62" s="44" t="s">
        <v>112</v>
      </c>
      <c r="F62" s="38">
        <v>56</v>
      </c>
      <c r="G62" s="54">
        <v>38</v>
      </c>
      <c r="H62" s="38">
        <f t="shared" si="1"/>
        <v>41.6</v>
      </c>
      <c r="I62" s="38">
        <f t="shared" si="2"/>
        <v>74</v>
      </c>
      <c r="J62" s="38">
        <f t="shared" si="3"/>
        <v>74</v>
      </c>
      <c r="K62" s="38">
        <f t="shared" si="4"/>
        <v>90.64</v>
      </c>
      <c r="L62" s="38">
        <f t="shared" si="5"/>
        <v>61.36</v>
      </c>
    </row>
    <row r="63" spans="1:12">
      <c r="A63" s="38">
        <v>54</v>
      </c>
      <c r="B63" s="44" t="s">
        <v>64</v>
      </c>
      <c r="C63" s="44" t="s">
        <v>25</v>
      </c>
      <c r="D63" s="44" t="s">
        <v>51</v>
      </c>
      <c r="E63" s="44" t="s">
        <v>116</v>
      </c>
      <c r="F63" s="38">
        <v>77.6</v>
      </c>
      <c r="G63" s="54">
        <v>54</v>
      </c>
      <c r="H63" s="38">
        <f t="shared" si="1"/>
        <v>58.72</v>
      </c>
      <c r="I63" s="38">
        <f t="shared" si="2"/>
        <v>80</v>
      </c>
      <c r="J63" s="38">
        <f t="shared" si="3"/>
        <v>80</v>
      </c>
      <c r="K63" s="38">
        <f t="shared" si="4"/>
        <v>94.56</v>
      </c>
      <c r="L63" s="38">
        <f t="shared" si="5"/>
        <v>69.43</v>
      </c>
    </row>
    <row r="64" spans="1:12">
      <c r="A64" s="38">
        <v>55</v>
      </c>
      <c r="B64" s="44" t="s">
        <v>64</v>
      </c>
      <c r="C64" s="44" t="s">
        <v>25</v>
      </c>
      <c r="D64" s="44" t="s">
        <v>55</v>
      </c>
      <c r="E64" s="44" t="s">
        <v>108</v>
      </c>
      <c r="F64" s="38">
        <v>77.6</v>
      </c>
      <c r="G64" s="54">
        <v>46</v>
      </c>
      <c r="H64" s="38">
        <f t="shared" si="1"/>
        <v>52.32</v>
      </c>
      <c r="I64" s="38">
        <f t="shared" si="2"/>
        <v>80</v>
      </c>
      <c r="J64" s="38">
        <f t="shared" si="3"/>
        <v>80</v>
      </c>
      <c r="K64" s="38">
        <f t="shared" si="4"/>
        <v>94.56</v>
      </c>
      <c r="L64" s="38">
        <f t="shared" si="5"/>
        <v>69.14</v>
      </c>
    </row>
    <row r="65" spans="1:12">
      <c r="A65" s="38">
        <v>56</v>
      </c>
      <c r="B65" s="44" t="s">
        <v>64</v>
      </c>
      <c r="C65" s="44" t="s">
        <v>25</v>
      </c>
      <c r="D65" s="44" t="s">
        <v>54</v>
      </c>
      <c r="E65" s="44" t="s">
        <v>105</v>
      </c>
      <c r="F65" s="38">
        <v>78.8</v>
      </c>
      <c r="G65" s="54">
        <v>46</v>
      </c>
      <c r="H65" s="38">
        <f t="shared" si="1"/>
        <v>52.56</v>
      </c>
      <c r="I65" s="38">
        <f t="shared" si="2"/>
        <v>80</v>
      </c>
      <c r="J65" s="38">
        <f t="shared" si="3"/>
        <v>80</v>
      </c>
      <c r="K65" s="38">
        <f t="shared" si="4"/>
        <v>94.78</v>
      </c>
      <c r="L65" s="38">
        <f t="shared" si="5"/>
        <v>68.07</v>
      </c>
    </row>
    <row r="66" spans="1:12">
      <c r="A66" s="38">
        <v>57</v>
      </c>
      <c r="B66" s="44" t="s">
        <v>64</v>
      </c>
      <c r="C66" s="44" t="s">
        <v>25</v>
      </c>
      <c r="D66" s="44" t="s">
        <v>53</v>
      </c>
      <c r="E66" s="44" t="s">
        <v>111</v>
      </c>
      <c r="F66" s="38">
        <v>77.6</v>
      </c>
      <c r="G66" s="54">
        <v>58</v>
      </c>
      <c r="H66" s="38">
        <f t="shared" si="1"/>
        <v>61.92</v>
      </c>
      <c r="I66" s="38">
        <f t="shared" si="2"/>
        <v>83</v>
      </c>
      <c r="J66" s="38">
        <f t="shared" si="3"/>
        <v>83</v>
      </c>
      <c r="K66" s="38">
        <f t="shared" si="4"/>
        <v>94.56</v>
      </c>
      <c r="L66" s="38">
        <f t="shared" si="5"/>
        <v>73.86</v>
      </c>
    </row>
    <row r="67" spans="1:12">
      <c r="A67" s="38">
        <v>58</v>
      </c>
      <c r="B67" s="44" t="s">
        <v>64</v>
      </c>
      <c r="C67" s="44" t="s">
        <v>25</v>
      </c>
      <c r="D67" s="44" t="s">
        <v>54</v>
      </c>
      <c r="E67" s="44" t="s">
        <v>105</v>
      </c>
      <c r="F67" s="38">
        <v>77.6</v>
      </c>
      <c r="G67" s="54">
        <v>66</v>
      </c>
      <c r="H67" s="38">
        <f t="shared" si="1"/>
        <v>68.32</v>
      </c>
      <c r="I67" s="38">
        <f t="shared" si="2"/>
        <v>86</v>
      </c>
      <c r="J67" s="38">
        <f t="shared" si="3"/>
        <v>86</v>
      </c>
      <c r="K67" s="38">
        <f t="shared" si="4"/>
        <v>94.56</v>
      </c>
      <c r="L67" s="38">
        <f t="shared" si="5"/>
        <v>79.5</v>
      </c>
    </row>
    <row r="68" spans="1:12">
      <c r="A68" s="38">
        <v>59</v>
      </c>
      <c r="B68" s="44" t="s">
        <v>64</v>
      </c>
      <c r="C68" s="44" t="s">
        <v>25</v>
      </c>
      <c r="D68" s="44" t="s">
        <v>55</v>
      </c>
      <c r="E68" s="44" t="s">
        <v>108</v>
      </c>
      <c r="F68" s="38">
        <v>77.6</v>
      </c>
      <c r="G68" s="54">
        <v>46</v>
      </c>
      <c r="H68" s="38">
        <f t="shared" ref="H68:H103" si="6">F68*0.2+G68*0.8</f>
        <v>52.32</v>
      </c>
      <c r="I68" s="38">
        <f t="shared" ref="I68:I103" si="7">ROUND(E68*0.6+H68*0.4,0)</f>
        <v>80</v>
      </c>
      <c r="J68" s="38">
        <f t="shared" ref="J68:J103" si="8">ROUND(K68*0.44+L68*0.56,0)</f>
        <v>80</v>
      </c>
      <c r="K68" s="38">
        <f t="shared" ref="K68:K103" si="9">ROUND(B68/50*100*30/44+C68/10*100*6/44+F68*8/44,2)</f>
        <v>94.56</v>
      </c>
      <c r="L68" s="38">
        <f t="shared" ref="L68:L103" si="10">ROUND(D68/40*100*24/56+G68*32/56,2)</f>
        <v>69.14</v>
      </c>
    </row>
    <row r="69" spans="1:12">
      <c r="A69" s="38">
        <v>60</v>
      </c>
      <c r="B69" s="44" t="s">
        <v>64</v>
      </c>
      <c r="C69" s="44" t="s">
        <v>25</v>
      </c>
      <c r="D69" s="44" t="s">
        <v>53</v>
      </c>
      <c r="E69" s="44" t="s">
        <v>111</v>
      </c>
      <c r="F69" s="38">
        <v>77.6</v>
      </c>
      <c r="G69" s="54">
        <v>42</v>
      </c>
      <c r="H69" s="38">
        <f t="shared" si="6"/>
        <v>49.12</v>
      </c>
      <c r="I69" s="38">
        <f t="shared" si="7"/>
        <v>78</v>
      </c>
      <c r="J69" s="38">
        <f t="shared" si="8"/>
        <v>78</v>
      </c>
      <c r="K69" s="38">
        <f t="shared" si="9"/>
        <v>94.56</v>
      </c>
      <c r="L69" s="38">
        <f t="shared" si="10"/>
        <v>64.71</v>
      </c>
    </row>
    <row r="70" spans="1:12">
      <c r="A70" s="38">
        <v>61</v>
      </c>
      <c r="B70" s="44" t="s">
        <v>55</v>
      </c>
      <c r="C70" s="44" t="s">
        <v>25</v>
      </c>
      <c r="D70" s="44" t="s">
        <v>54</v>
      </c>
      <c r="E70" s="44" t="s">
        <v>107</v>
      </c>
      <c r="F70" s="38">
        <v>63.2</v>
      </c>
      <c r="G70" s="54">
        <v>40</v>
      </c>
      <c r="H70" s="38">
        <f t="shared" si="6"/>
        <v>44.64</v>
      </c>
      <c r="I70" s="38">
        <f t="shared" si="7"/>
        <v>71</v>
      </c>
      <c r="J70" s="38">
        <f t="shared" si="8"/>
        <v>71</v>
      </c>
      <c r="K70" s="38">
        <f t="shared" si="9"/>
        <v>79.67</v>
      </c>
      <c r="L70" s="38">
        <f t="shared" si="10"/>
        <v>64.64</v>
      </c>
    </row>
    <row r="71" spans="1:12">
      <c r="A71" s="38">
        <v>62</v>
      </c>
      <c r="B71" s="44" t="s">
        <v>59</v>
      </c>
      <c r="C71" s="44" t="s">
        <v>25</v>
      </c>
      <c r="D71" s="44" t="s">
        <v>50</v>
      </c>
      <c r="E71" s="44" t="s">
        <v>107</v>
      </c>
      <c r="F71" s="38">
        <v>74.1</v>
      </c>
      <c r="G71" s="54">
        <v>28</v>
      </c>
      <c r="H71" s="38">
        <f t="shared" si="6"/>
        <v>37.22</v>
      </c>
      <c r="I71" s="38">
        <f t="shared" si="7"/>
        <v>68</v>
      </c>
      <c r="J71" s="38">
        <f t="shared" si="8"/>
        <v>68</v>
      </c>
      <c r="K71" s="38">
        <f t="shared" si="9"/>
        <v>87.11</v>
      </c>
      <c r="L71" s="38">
        <f t="shared" si="10"/>
        <v>53.5</v>
      </c>
    </row>
    <row r="72" spans="1:12">
      <c r="A72" s="38">
        <v>63</v>
      </c>
      <c r="B72" s="44" t="s">
        <v>56</v>
      </c>
      <c r="C72" s="44" t="s">
        <v>24</v>
      </c>
      <c r="D72" s="44" t="s">
        <v>52</v>
      </c>
      <c r="E72" s="44" t="s">
        <v>109</v>
      </c>
      <c r="F72" s="38">
        <v>70.6</v>
      </c>
      <c r="G72" s="54">
        <v>32</v>
      </c>
      <c r="H72" s="38">
        <f t="shared" si="6"/>
        <v>39.72</v>
      </c>
      <c r="I72" s="38">
        <f t="shared" si="7"/>
        <v>68</v>
      </c>
      <c r="J72" s="38">
        <f t="shared" si="8"/>
        <v>68</v>
      </c>
      <c r="K72" s="38">
        <f t="shared" si="9"/>
        <v>81.02</v>
      </c>
      <c r="L72" s="38">
        <f t="shared" si="10"/>
        <v>57.93</v>
      </c>
    </row>
    <row r="73" spans="1:12">
      <c r="A73" s="38">
        <v>64</v>
      </c>
      <c r="B73" s="44" t="s">
        <v>48</v>
      </c>
      <c r="C73" s="44" t="s">
        <v>25</v>
      </c>
      <c r="D73" s="44" t="s">
        <v>53</v>
      </c>
      <c r="E73" s="44" t="s">
        <v>96</v>
      </c>
      <c r="F73" s="38">
        <v>77.6</v>
      </c>
      <c r="G73" s="54">
        <v>56</v>
      </c>
      <c r="H73" s="38">
        <f t="shared" si="6"/>
        <v>60.32</v>
      </c>
      <c r="I73" s="38">
        <f t="shared" si="7"/>
        <v>73</v>
      </c>
      <c r="J73" s="38">
        <f t="shared" si="8"/>
        <v>73</v>
      </c>
      <c r="K73" s="38">
        <f t="shared" si="9"/>
        <v>72.75</v>
      </c>
      <c r="L73" s="38">
        <f t="shared" si="10"/>
        <v>72.71</v>
      </c>
    </row>
    <row r="74" spans="1:12">
      <c r="A74" s="38">
        <v>65</v>
      </c>
      <c r="B74" s="44" t="s">
        <v>64</v>
      </c>
      <c r="C74" s="44" t="s">
        <v>25</v>
      </c>
      <c r="D74" s="44" t="s">
        <v>53</v>
      </c>
      <c r="E74" s="44" t="s">
        <v>111</v>
      </c>
      <c r="F74" s="38">
        <v>77.6</v>
      </c>
      <c r="G74" s="54">
        <v>46</v>
      </c>
      <c r="H74" s="38">
        <f t="shared" si="6"/>
        <v>52.32</v>
      </c>
      <c r="I74" s="38">
        <f t="shared" si="7"/>
        <v>79</v>
      </c>
      <c r="J74" s="38">
        <f t="shared" si="8"/>
        <v>79</v>
      </c>
      <c r="K74" s="38">
        <f t="shared" si="9"/>
        <v>94.56</v>
      </c>
      <c r="L74" s="38">
        <f t="shared" si="10"/>
        <v>67</v>
      </c>
    </row>
    <row r="75" spans="1:12">
      <c r="A75" s="38">
        <v>66</v>
      </c>
      <c r="B75" s="44" t="s">
        <v>64</v>
      </c>
      <c r="C75" s="44" t="s">
        <v>25</v>
      </c>
      <c r="D75" s="44" t="s">
        <v>54</v>
      </c>
      <c r="E75" s="44" t="s">
        <v>105</v>
      </c>
      <c r="F75" s="38">
        <v>42</v>
      </c>
      <c r="G75" s="54">
        <v>60</v>
      </c>
      <c r="H75" s="38">
        <f t="shared" si="6"/>
        <v>56.4</v>
      </c>
      <c r="I75" s="38">
        <f t="shared" si="7"/>
        <v>81</v>
      </c>
      <c r="J75" s="38">
        <f t="shared" si="8"/>
        <v>81</v>
      </c>
      <c r="K75" s="38">
        <f t="shared" si="9"/>
        <v>88.09</v>
      </c>
      <c r="L75" s="38">
        <f t="shared" si="10"/>
        <v>76.07</v>
      </c>
    </row>
    <row r="76" spans="1:12">
      <c r="A76" s="38">
        <v>67</v>
      </c>
      <c r="B76" s="44" t="s">
        <v>64</v>
      </c>
      <c r="C76" s="44" t="s">
        <v>25</v>
      </c>
      <c r="D76" s="44" t="s">
        <v>53</v>
      </c>
      <c r="E76" s="44" t="s">
        <v>111</v>
      </c>
      <c r="F76" s="38">
        <v>49</v>
      </c>
      <c r="G76" s="54">
        <v>42</v>
      </c>
      <c r="H76" s="38">
        <f t="shared" si="6"/>
        <v>43.4</v>
      </c>
      <c r="I76" s="38">
        <f t="shared" si="7"/>
        <v>76</v>
      </c>
      <c r="J76" s="38">
        <f t="shared" si="8"/>
        <v>76</v>
      </c>
      <c r="K76" s="38">
        <f t="shared" si="9"/>
        <v>89.36</v>
      </c>
      <c r="L76" s="38">
        <f t="shared" si="10"/>
        <v>64.71</v>
      </c>
    </row>
    <row r="77" spans="1:12">
      <c r="A77" s="38">
        <v>68</v>
      </c>
      <c r="B77" s="44" t="s">
        <v>58</v>
      </c>
      <c r="C77" s="44" t="s">
        <v>24</v>
      </c>
      <c r="D77" s="44" t="s">
        <v>54</v>
      </c>
      <c r="E77" s="44" t="s">
        <v>110</v>
      </c>
      <c r="F77" s="38">
        <v>56</v>
      </c>
      <c r="G77" s="54">
        <v>30</v>
      </c>
      <c r="H77" s="38">
        <f t="shared" si="6"/>
        <v>35.2</v>
      </c>
      <c r="I77" s="38">
        <f t="shared" si="7"/>
        <v>69</v>
      </c>
      <c r="J77" s="38">
        <f t="shared" si="8"/>
        <v>69</v>
      </c>
      <c r="K77" s="38">
        <f t="shared" si="9"/>
        <v>81.09</v>
      </c>
      <c r="L77" s="38">
        <f t="shared" si="10"/>
        <v>58.93</v>
      </c>
    </row>
    <row r="78" spans="1:12">
      <c r="A78" s="38">
        <v>69</v>
      </c>
      <c r="B78" s="44" t="s">
        <v>64</v>
      </c>
      <c r="C78" s="44" t="s">
        <v>25</v>
      </c>
      <c r="D78" s="44" t="s">
        <v>53</v>
      </c>
      <c r="E78" s="44" t="s">
        <v>111</v>
      </c>
      <c r="F78" s="38">
        <v>70.6</v>
      </c>
      <c r="G78" s="54">
        <v>48</v>
      </c>
      <c r="H78" s="38">
        <f t="shared" si="6"/>
        <v>52.52</v>
      </c>
      <c r="I78" s="38">
        <f t="shared" si="7"/>
        <v>79</v>
      </c>
      <c r="J78" s="38">
        <f t="shared" si="8"/>
        <v>79</v>
      </c>
      <c r="K78" s="38">
        <f t="shared" si="9"/>
        <v>93.29</v>
      </c>
      <c r="L78" s="38">
        <f t="shared" si="10"/>
        <v>68.14</v>
      </c>
    </row>
    <row r="79" spans="1:12">
      <c r="A79" s="38">
        <v>70</v>
      </c>
      <c r="B79" s="44" t="s">
        <v>64</v>
      </c>
      <c r="C79" s="44" t="s">
        <v>25</v>
      </c>
      <c r="D79" s="44" t="s">
        <v>53</v>
      </c>
      <c r="E79" s="44" t="s">
        <v>111</v>
      </c>
      <c r="F79" s="38">
        <v>77.6</v>
      </c>
      <c r="G79" s="54">
        <v>54</v>
      </c>
      <c r="H79" s="38">
        <f t="shared" si="6"/>
        <v>58.72</v>
      </c>
      <c r="I79" s="38">
        <f t="shared" si="7"/>
        <v>82</v>
      </c>
      <c r="J79" s="38">
        <f t="shared" si="8"/>
        <v>82</v>
      </c>
      <c r="K79" s="38">
        <f t="shared" si="9"/>
        <v>94.56</v>
      </c>
      <c r="L79" s="38">
        <f t="shared" si="10"/>
        <v>71.57</v>
      </c>
    </row>
    <row r="80" spans="1:12">
      <c r="A80" s="38">
        <v>71</v>
      </c>
      <c r="B80" s="44" t="s">
        <v>60</v>
      </c>
      <c r="C80" s="44" t="s">
        <v>24</v>
      </c>
      <c r="D80" s="44" t="s">
        <v>53</v>
      </c>
      <c r="E80" s="44" t="s">
        <v>114</v>
      </c>
      <c r="F80" s="38">
        <v>49</v>
      </c>
      <c r="G80" s="54">
        <v>34</v>
      </c>
      <c r="H80" s="38">
        <f t="shared" si="6"/>
        <v>37</v>
      </c>
      <c r="I80" s="38">
        <f t="shared" si="7"/>
        <v>70</v>
      </c>
      <c r="J80" s="38">
        <f t="shared" si="8"/>
        <v>70</v>
      </c>
      <c r="K80" s="38">
        <f t="shared" si="9"/>
        <v>82.55</v>
      </c>
      <c r="L80" s="38">
        <f t="shared" si="10"/>
        <v>60.14</v>
      </c>
    </row>
    <row r="81" spans="1:12">
      <c r="A81" s="38">
        <v>72</v>
      </c>
      <c r="B81" s="44" t="s">
        <v>64</v>
      </c>
      <c r="C81" s="44" t="s">
        <v>25</v>
      </c>
      <c r="D81" s="44" t="s">
        <v>53</v>
      </c>
      <c r="E81" s="44" t="s">
        <v>111</v>
      </c>
      <c r="F81" s="38">
        <v>63.6</v>
      </c>
      <c r="G81" s="54">
        <v>94</v>
      </c>
      <c r="H81" s="38">
        <f t="shared" si="6"/>
        <v>87.92</v>
      </c>
      <c r="I81" s="38">
        <f t="shared" si="7"/>
        <v>93</v>
      </c>
      <c r="J81" s="38">
        <f t="shared" si="8"/>
        <v>93</v>
      </c>
      <c r="K81" s="38">
        <f t="shared" si="9"/>
        <v>92.02</v>
      </c>
      <c r="L81" s="38">
        <f t="shared" si="10"/>
        <v>94.43</v>
      </c>
    </row>
    <row r="82" spans="1:12">
      <c r="A82" s="38">
        <v>73</v>
      </c>
      <c r="B82" s="44" t="s">
        <v>63</v>
      </c>
      <c r="C82" s="44" t="s">
        <v>25</v>
      </c>
      <c r="D82" s="44" t="s">
        <v>53</v>
      </c>
      <c r="E82" s="44" t="s">
        <v>112</v>
      </c>
      <c r="F82" s="38">
        <v>59.5</v>
      </c>
      <c r="G82" s="54">
        <v>54</v>
      </c>
      <c r="H82" s="38">
        <f t="shared" si="6"/>
        <v>55.1</v>
      </c>
      <c r="I82" s="38">
        <f t="shared" si="7"/>
        <v>80</v>
      </c>
      <c r="J82" s="38">
        <f t="shared" si="8"/>
        <v>80</v>
      </c>
      <c r="K82" s="38">
        <f t="shared" si="9"/>
        <v>89.91</v>
      </c>
      <c r="L82" s="38">
        <f t="shared" si="10"/>
        <v>71.57</v>
      </c>
    </row>
    <row r="83" spans="1:12">
      <c r="A83" s="38">
        <v>74</v>
      </c>
      <c r="B83" s="44" t="s">
        <v>63</v>
      </c>
      <c r="C83" s="44" t="s">
        <v>25</v>
      </c>
      <c r="D83" s="44" t="s">
        <v>53</v>
      </c>
      <c r="E83" s="44" t="s">
        <v>112</v>
      </c>
      <c r="F83" s="38">
        <v>42</v>
      </c>
      <c r="G83" s="54">
        <v>54</v>
      </c>
      <c r="H83" s="38">
        <f t="shared" si="6"/>
        <v>51.6</v>
      </c>
      <c r="I83" s="38">
        <f t="shared" si="7"/>
        <v>78</v>
      </c>
      <c r="J83" s="38">
        <f t="shared" si="8"/>
        <v>78</v>
      </c>
      <c r="K83" s="38">
        <f t="shared" si="9"/>
        <v>86.73</v>
      </c>
      <c r="L83" s="38">
        <f t="shared" si="10"/>
        <v>71.57</v>
      </c>
    </row>
    <row r="84" spans="1:12">
      <c r="A84" s="38">
        <v>75</v>
      </c>
      <c r="B84" s="44" t="s">
        <v>55</v>
      </c>
      <c r="C84" s="44" t="s">
        <v>24</v>
      </c>
      <c r="D84" s="44" t="s">
        <v>52</v>
      </c>
      <c r="E84" s="44" t="s">
        <v>101</v>
      </c>
      <c r="F84" s="38">
        <v>49</v>
      </c>
      <c r="G84" s="54">
        <v>40</v>
      </c>
      <c r="H84" s="38">
        <f t="shared" si="6"/>
        <v>41.8</v>
      </c>
      <c r="I84" s="38">
        <f t="shared" si="7"/>
        <v>68</v>
      </c>
      <c r="J84" s="38">
        <f t="shared" si="8"/>
        <v>68</v>
      </c>
      <c r="K84" s="38">
        <f t="shared" si="9"/>
        <v>75.73</v>
      </c>
      <c r="L84" s="38">
        <f t="shared" si="10"/>
        <v>62.5</v>
      </c>
    </row>
    <row r="85" spans="1:12">
      <c r="A85" s="38">
        <v>76</v>
      </c>
      <c r="B85" s="44" t="s">
        <v>62</v>
      </c>
      <c r="C85" s="44" t="s">
        <v>25</v>
      </c>
      <c r="D85" s="44" t="s">
        <v>55</v>
      </c>
      <c r="E85" s="44" t="s">
        <v>111</v>
      </c>
      <c r="F85" s="38">
        <v>49</v>
      </c>
      <c r="G85" s="54">
        <v>44</v>
      </c>
      <c r="H85" s="38">
        <f t="shared" si="6"/>
        <v>45</v>
      </c>
      <c r="I85" s="38">
        <f t="shared" si="7"/>
        <v>76</v>
      </c>
      <c r="J85" s="38">
        <f t="shared" si="8"/>
        <v>76</v>
      </c>
      <c r="K85" s="38">
        <f t="shared" si="9"/>
        <v>86.64</v>
      </c>
      <c r="L85" s="38">
        <f t="shared" si="10"/>
        <v>68</v>
      </c>
    </row>
    <row r="86" spans="1:12">
      <c r="A86" s="38">
        <v>77</v>
      </c>
      <c r="B86" s="44" t="s">
        <v>64</v>
      </c>
      <c r="C86" s="44" t="s">
        <v>25</v>
      </c>
      <c r="D86" s="44" t="s">
        <v>54</v>
      </c>
      <c r="E86" s="44" t="s">
        <v>105</v>
      </c>
      <c r="F86" s="38">
        <v>42</v>
      </c>
      <c r="G86" s="54">
        <v>82</v>
      </c>
      <c r="H86" s="38">
        <f t="shared" si="6"/>
        <v>74</v>
      </c>
      <c r="I86" s="38">
        <f t="shared" si="7"/>
        <v>88</v>
      </c>
      <c r="J86" s="38">
        <f t="shared" si="8"/>
        <v>88</v>
      </c>
      <c r="K86" s="38">
        <f t="shared" si="9"/>
        <v>88.09</v>
      </c>
      <c r="L86" s="38">
        <f t="shared" si="10"/>
        <v>88.64</v>
      </c>
    </row>
    <row r="87" spans="1:12">
      <c r="A87" s="38">
        <v>78</v>
      </c>
      <c r="B87" s="44" t="s">
        <v>57</v>
      </c>
      <c r="C87" s="44" t="s">
        <v>25</v>
      </c>
      <c r="D87" s="44" t="s">
        <v>54</v>
      </c>
      <c r="E87" s="44" t="s">
        <v>110</v>
      </c>
      <c r="F87" s="38">
        <v>49</v>
      </c>
      <c r="G87" s="54">
        <v>64</v>
      </c>
      <c r="H87" s="38">
        <f t="shared" si="6"/>
        <v>61</v>
      </c>
      <c r="I87" s="38">
        <f t="shared" si="7"/>
        <v>79</v>
      </c>
      <c r="J87" s="38">
        <f t="shared" si="8"/>
        <v>79</v>
      </c>
      <c r="K87" s="38">
        <f t="shared" si="9"/>
        <v>79.82</v>
      </c>
      <c r="L87" s="38">
        <f t="shared" si="10"/>
        <v>78.36</v>
      </c>
    </row>
    <row r="88" spans="1:12">
      <c r="A88" s="38">
        <v>79</v>
      </c>
      <c r="B88" s="44" t="s">
        <v>64</v>
      </c>
      <c r="C88" s="44" t="s">
        <v>25</v>
      </c>
      <c r="D88" s="44" t="s">
        <v>55</v>
      </c>
      <c r="E88" s="44" t="s">
        <v>108</v>
      </c>
      <c r="F88" s="38">
        <v>56</v>
      </c>
      <c r="G88" s="54">
        <v>72</v>
      </c>
      <c r="H88" s="38">
        <f t="shared" si="6"/>
        <v>68.8</v>
      </c>
      <c r="I88" s="38">
        <f t="shared" si="7"/>
        <v>87</v>
      </c>
      <c r="J88" s="38">
        <f t="shared" si="8"/>
        <v>87</v>
      </c>
      <c r="K88" s="38">
        <f t="shared" si="9"/>
        <v>90.64</v>
      </c>
      <c r="L88" s="38">
        <f t="shared" si="10"/>
        <v>84</v>
      </c>
    </row>
    <row r="89" spans="1:12">
      <c r="A89" s="38">
        <v>80</v>
      </c>
      <c r="B89" s="56">
        <f>50*0.6</f>
        <v>30</v>
      </c>
      <c r="C89" s="56">
        <f>10*0.6</f>
        <v>6</v>
      </c>
      <c r="D89" s="56">
        <f>40*0.6</f>
        <v>24</v>
      </c>
      <c r="E89" s="56">
        <f>SUM(B89:D89)</f>
        <v>60</v>
      </c>
      <c r="F89" s="56">
        <v>52.5</v>
      </c>
      <c r="G89" s="55">
        <v>48</v>
      </c>
      <c r="H89" s="56">
        <f t="shared" si="6"/>
        <v>48.9</v>
      </c>
      <c r="I89" s="56">
        <f t="shared" si="7"/>
        <v>56</v>
      </c>
      <c r="J89" s="56">
        <f t="shared" si="8"/>
        <v>56</v>
      </c>
      <c r="K89" s="56">
        <f t="shared" si="9"/>
        <v>58.64</v>
      </c>
      <c r="L89" s="56">
        <f t="shared" si="10"/>
        <v>53.14</v>
      </c>
    </row>
    <row r="90" spans="1:12">
      <c r="A90" s="38">
        <v>81</v>
      </c>
      <c r="B90" s="44" t="s">
        <v>58</v>
      </c>
      <c r="C90" s="44" t="s">
        <v>25</v>
      </c>
      <c r="D90" s="44" t="s">
        <v>55</v>
      </c>
      <c r="E90" s="44" t="s">
        <v>118</v>
      </c>
      <c r="F90" s="38">
        <v>77.7</v>
      </c>
      <c r="G90" s="54">
        <v>64</v>
      </c>
      <c r="H90" s="38">
        <f t="shared" si="6"/>
        <v>66.74</v>
      </c>
      <c r="I90" s="38">
        <f t="shared" si="7"/>
        <v>82</v>
      </c>
      <c r="J90" s="38">
        <f t="shared" si="8"/>
        <v>82</v>
      </c>
      <c r="K90" s="38">
        <f t="shared" si="9"/>
        <v>86.4</v>
      </c>
      <c r="L90" s="38">
        <f t="shared" si="10"/>
        <v>79.43</v>
      </c>
    </row>
    <row r="91" spans="1:12">
      <c r="A91" s="38">
        <v>82</v>
      </c>
      <c r="B91" s="44" t="s">
        <v>58</v>
      </c>
      <c r="C91" s="44" t="s">
        <v>25</v>
      </c>
      <c r="D91" s="44" t="s">
        <v>55</v>
      </c>
      <c r="E91" s="44" t="s">
        <v>118</v>
      </c>
      <c r="F91" s="38">
        <v>66</v>
      </c>
      <c r="G91" s="54">
        <v>44</v>
      </c>
      <c r="H91" s="38">
        <f t="shared" si="6"/>
        <v>48.4</v>
      </c>
      <c r="I91" s="38">
        <f t="shared" si="7"/>
        <v>75</v>
      </c>
      <c r="J91" s="38">
        <f t="shared" si="8"/>
        <v>75</v>
      </c>
      <c r="K91" s="38">
        <f t="shared" si="9"/>
        <v>84.27</v>
      </c>
      <c r="L91" s="38">
        <f t="shared" si="10"/>
        <v>68</v>
      </c>
    </row>
    <row r="92" spans="1:12">
      <c r="A92" s="38">
        <v>83</v>
      </c>
      <c r="B92" s="44" t="s">
        <v>56</v>
      </c>
      <c r="C92" s="44" t="s">
        <v>24</v>
      </c>
      <c r="D92" s="44" t="s">
        <v>55</v>
      </c>
      <c r="E92" s="44" t="s">
        <v>113</v>
      </c>
      <c r="F92" s="38">
        <v>81.2</v>
      </c>
      <c r="G92" s="54">
        <v>48</v>
      </c>
      <c r="H92" s="38">
        <f t="shared" si="6"/>
        <v>54.64</v>
      </c>
      <c r="I92" s="38">
        <f t="shared" si="7"/>
        <v>76</v>
      </c>
      <c r="J92" s="38">
        <f t="shared" si="8"/>
        <v>76</v>
      </c>
      <c r="K92" s="38">
        <f t="shared" si="9"/>
        <v>82.95</v>
      </c>
      <c r="L92" s="38">
        <f t="shared" si="10"/>
        <v>70.29</v>
      </c>
    </row>
    <row r="93" spans="1:12">
      <c r="A93" s="38">
        <v>84</v>
      </c>
      <c r="B93" s="44" t="s">
        <v>57</v>
      </c>
      <c r="C93" s="44" t="s">
        <v>25</v>
      </c>
      <c r="D93" s="44" t="s">
        <v>55</v>
      </c>
      <c r="E93" s="44" t="s">
        <v>114</v>
      </c>
      <c r="F93" s="38">
        <v>49</v>
      </c>
      <c r="G93" s="54">
        <v>44</v>
      </c>
      <c r="H93" s="38">
        <f t="shared" si="6"/>
        <v>45</v>
      </c>
      <c r="I93" s="38">
        <f t="shared" si="7"/>
        <v>73</v>
      </c>
      <c r="J93" s="38">
        <f t="shared" si="8"/>
        <v>73</v>
      </c>
      <c r="K93" s="38">
        <f t="shared" si="9"/>
        <v>79.82</v>
      </c>
      <c r="L93" s="38">
        <f t="shared" si="10"/>
        <v>68</v>
      </c>
    </row>
    <row r="94" spans="1:12">
      <c r="A94" s="38">
        <v>85</v>
      </c>
      <c r="B94" s="44" t="s">
        <v>58</v>
      </c>
      <c r="C94" s="44" t="s">
        <v>25</v>
      </c>
      <c r="D94" s="44" t="s">
        <v>52</v>
      </c>
      <c r="E94" s="44" t="s">
        <v>113</v>
      </c>
      <c r="F94" s="38">
        <v>74.2</v>
      </c>
      <c r="G94" s="54">
        <v>66</v>
      </c>
      <c r="H94" s="38">
        <f t="shared" si="6"/>
        <v>67.64</v>
      </c>
      <c r="I94" s="38">
        <f t="shared" si="7"/>
        <v>81</v>
      </c>
      <c r="J94" s="38">
        <f t="shared" si="8"/>
        <v>81</v>
      </c>
      <c r="K94" s="38">
        <f t="shared" si="9"/>
        <v>85.76</v>
      </c>
      <c r="L94" s="38">
        <f t="shared" si="10"/>
        <v>77.36</v>
      </c>
    </row>
    <row r="95" spans="1:12">
      <c r="A95" s="38">
        <v>86</v>
      </c>
      <c r="B95" s="44" t="s">
        <v>64</v>
      </c>
      <c r="C95" s="44" t="s">
        <v>25</v>
      </c>
      <c r="D95" s="44" t="s">
        <v>55</v>
      </c>
      <c r="E95" s="44" t="s">
        <v>108</v>
      </c>
      <c r="F95" s="38">
        <v>56</v>
      </c>
      <c r="G95" s="54">
        <v>66</v>
      </c>
      <c r="H95" s="38">
        <f t="shared" si="6"/>
        <v>64</v>
      </c>
      <c r="I95" s="38">
        <f t="shared" si="7"/>
        <v>85</v>
      </c>
      <c r="J95" s="38">
        <f t="shared" si="8"/>
        <v>85</v>
      </c>
      <c r="K95" s="38">
        <f t="shared" si="9"/>
        <v>90.64</v>
      </c>
      <c r="L95" s="38">
        <f t="shared" si="10"/>
        <v>80.57</v>
      </c>
    </row>
    <row r="96" spans="1:12">
      <c r="A96" s="38">
        <v>87</v>
      </c>
      <c r="B96" s="44" t="s">
        <v>59</v>
      </c>
      <c r="C96" s="44" t="s">
        <v>25</v>
      </c>
      <c r="D96" s="44" t="s">
        <v>55</v>
      </c>
      <c r="E96" s="44" t="s">
        <v>115</v>
      </c>
      <c r="F96" s="38">
        <v>56</v>
      </c>
      <c r="G96" s="54">
        <v>60</v>
      </c>
      <c r="H96" s="38">
        <f t="shared" si="6"/>
        <v>59.2</v>
      </c>
      <c r="I96" s="38">
        <f t="shared" si="7"/>
        <v>80</v>
      </c>
      <c r="J96" s="38">
        <f t="shared" si="8"/>
        <v>80</v>
      </c>
      <c r="K96" s="38">
        <f t="shared" si="9"/>
        <v>83.82</v>
      </c>
      <c r="L96" s="38">
        <f t="shared" si="10"/>
        <v>77.14</v>
      </c>
    </row>
    <row r="97" spans="1:12">
      <c r="A97" s="38">
        <v>88</v>
      </c>
      <c r="B97" s="44" t="s">
        <v>57</v>
      </c>
      <c r="C97" s="44" t="s">
        <v>25</v>
      </c>
      <c r="D97" s="44" t="s">
        <v>54</v>
      </c>
      <c r="E97" s="44" t="s">
        <v>110</v>
      </c>
      <c r="F97" s="38">
        <v>63.6</v>
      </c>
      <c r="G97" s="54">
        <v>62</v>
      </c>
      <c r="H97" s="38">
        <f t="shared" si="6"/>
        <v>62.32</v>
      </c>
      <c r="I97" s="38">
        <f t="shared" si="7"/>
        <v>80</v>
      </c>
      <c r="J97" s="38">
        <f t="shared" si="8"/>
        <v>80</v>
      </c>
      <c r="K97" s="38">
        <f t="shared" si="9"/>
        <v>82.47</v>
      </c>
      <c r="L97" s="38">
        <f t="shared" si="10"/>
        <v>77.21</v>
      </c>
    </row>
    <row r="98" spans="1:12">
      <c r="A98" s="38">
        <v>89</v>
      </c>
      <c r="B98" s="44" t="s">
        <v>61</v>
      </c>
      <c r="C98" s="44" t="s">
        <v>25</v>
      </c>
      <c r="D98" s="44" t="s">
        <v>52</v>
      </c>
      <c r="E98" s="44" t="s">
        <v>118</v>
      </c>
      <c r="F98" s="38">
        <v>81.2</v>
      </c>
      <c r="G98" s="54">
        <v>36</v>
      </c>
      <c r="H98" s="38">
        <f t="shared" si="6"/>
        <v>45.04</v>
      </c>
      <c r="I98" s="38">
        <f t="shared" si="7"/>
        <v>74</v>
      </c>
      <c r="J98" s="38">
        <f t="shared" si="8"/>
        <v>74</v>
      </c>
      <c r="K98" s="38">
        <f t="shared" si="9"/>
        <v>91.13</v>
      </c>
      <c r="L98" s="38">
        <f t="shared" si="10"/>
        <v>60.21</v>
      </c>
    </row>
    <row r="99" spans="1:12">
      <c r="A99" s="38">
        <v>90</v>
      </c>
      <c r="B99" s="44" t="s">
        <v>64</v>
      </c>
      <c r="C99" s="44" t="s">
        <v>25</v>
      </c>
      <c r="D99" s="44" t="s">
        <v>51</v>
      </c>
      <c r="E99" s="44" t="s">
        <v>116</v>
      </c>
      <c r="F99" s="38">
        <v>76.5</v>
      </c>
      <c r="G99" s="54">
        <v>38</v>
      </c>
      <c r="H99" s="38">
        <f t="shared" si="6"/>
        <v>45.7</v>
      </c>
      <c r="I99" s="38">
        <f t="shared" si="7"/>
        <v>75</v>
      </c>
      <c r="J99" s="38">
        <f t="shared" si="8"/>
        <v>75</v>
      </c>
      <c r="K99" s="38">
        <f t="shared" si="9"/>
        <v>94.36</v>
      </c>
      <c r="L99" s="38">
        <f t="shared" si="10"/>
        <v>60.29</v>
      </c>
    </row>
    <row r="100" spans="1:12">
      <c r="A100" s="38">
        <v>91</v>
      </c>
      <c r="B100" s="44" t="s">
        <v>62</v>
      </c>
      <c r="C100" s="44" t="s">
        <v>25</v>
      </c>
      <c r="D100" s="44" t="s">
        <v>47</v>
      </c>
      <c r="E100" s="44" t="s">
        <v>107</v>
      </c>
      <c r="F100" s="38">
        <v>77.6</v>
      </c>
      <c r="G100" s="54">
        <v>86</v>
      </c>
      <c r="H100" s="38">
        <f t="shared" si="6"/>
        <v>84.32</v>
      </c>
      <c r="I100" s="38">
        <f t="shared" si="7"/>
        <v>87</v>
      </c>
      <c r="J100" s="38">
        <f t="shared" si="8"/>
        <v>87</v>
      </c>
      <c r="K100" s="38">
        <f t="shared" si="9"/>
        <v>91.84</v>
      </c>
      <c r="L100" s="38">
        <f t="shared" si="10"/>
        <v>83.43</v>
      </c>
    </row>
    <row r="101" spans="1:12">
      <c r="A101" s="38">
        <v>92</v>
      </c>
      <c r="B101" s="44" t="s">
        <v>58</v>
      </c>
      <c r="C101" s="44" t="s">
        <v>25</v>
      </c>
      <c r="D101" s="44" t="s">
        <v>52</v>
      </c>
      <c r="E101" s="44" t="s">
        <v>113</v>
      </c>
      <c r="F101" s="38">
        <v>74.2</v>
      </c>
      <c r="G101" s="54">
        <v>38</v>
      </c>
      <c r="H101" s="38">
        <f t="shared" si="6"/>
        <v>45.24</v>
      </c>
      <c r="I101" s="38">
        <f t="shared" si="7"/>
        <v>72</v>
      </c>
      <c r="J101" s="38">
        <f t="shared" si="8"/>
        <v>72</v>
      </c>
      <c r="K101" s="38">
        <f t="shared" si="9"/>
        <v>85.76</v>
      </c>
      <c r="L101" s="38">
        <f t="shared" si="10"/>
        <v>61.36</v>
      </c>
    </row>
    <row r="102" spans="1:12">
      <c r="A102" s="38">
        <v>93</v>
      </c>
      <c r="B102" s="44" t="s">
        <v>55</v>
      </c>
      <c r="C102" s="44" t="s">
        <v>25</v>
      </c>
      <c r="D102" s="44" t="s">
        <v>54</v>
      </c>
      <c r="E102" s="44" t="s">
        <v>107</v>
      </c>
      <c r="F102" s="38">
        <v>52.5</v>
      </c>
      <c r="G102" s="54">
        <v>36</v>
      </c>
      <c r="H102" s="38">
        <f t="shared" si="6"/>
        <v>39.3</v>
      </c>
      <c r="I102" s="38">
        <f t="shared" si="7"/>
        <v>69</v>
      </c>
      <c r="J102" s="38">
        <f t="shared" si="8"/>
        <v>69</v>
      </c>
      <c r="K102" s="38">
        <f t="shared" si="9"/>
        <v>77.73</v>
      </c>
      <c r="L102" s="38">
        <f t="shared" si="10"/>
        <v>62.36</v>
      </c>
    </row>
    <row r="103" spans="1:12">
      <c r="A103" s="38">
        <v>94</v>
      </c>
      <c r="B103" s="44" t="s">
        <v>55</v>
      </c>
      <c r="C103" s="44" t="s">
        <v>24</v>
      </c>
      <c r="D103" s="44" t="s">
        <v>52</v>
      </c>
      <c r="E103" s="44" t="s">
        <v>101</v>
      </c>
      <c r="F103" s="38">
        <v>42</v>
      </c>
      <c r="G103" s="54">
        <v>36</v>
      </c>
      <c r="H103" s="38">
        <f t="shared" si="6"/>
        <v>37.2</v>
      </c>
      <c r="I103" s="38">
        <f t="shared" si="7"/>
        <v>66</v>
      </c>
      <c r="J103" s="38">
        <f t="shared" si="8"/>
        <v>66</v>
      </c>
      <c r="K103" s="38">
        <f t="shared" si="9"/>
        <v>74.45</v>
      </c>
      <c r="L103" s="38">
        <f t="shared" si="10"/>
        <v>60.21</v>
      </c>
    </row>
    <row r="104" spans="1:12">
      <c r="J104" s="1">
        <f>MIN(J10:J103)</f>
        <v>56</v>
      </c>
    </row>
  </sheetData>
  <mergeCells count="4">
    <mergeCell ref="A1:L1"/>
    <mergeCell ref="B2:E2"/>
    <mergeCell ref="F2:H2"/>
    <mergeCell ref="A2:A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topLeftCell="A65" workbookViewId="0">
      <selection activeCell="Q5" sqref="Q5"/>
    </sheetView>
  </sheetViews>
  <sheetFormatPr defaultColWidth="9.14285714285714" defaultRowHeight="16.8"/>
  <cols>
    <col min="1" max="13" width="9.14285714285714" style="1"/>
  </cols>
  <sheetData>
    <row r="1" ht="26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0</v>
      </c>
      <c r="B2" s="4" t="s">
        <v>1</v>
      </c>
      <c r="C2" s="5"/>
      <c r="D2" s="5"/>
      <c r="E2" s="6"/>
      <c r="F2" s="4" t="s">
        <v>2</v>
      </c>
      <c r="G2" s="5"/>
      <c r="H2" s="6"/>
      <c r="I2" s="6" t="s">
        <v>3</v>
      </c>
      <c r="J2" s="7" t="s">
        <v>4</v>
      </c>
      <c r="K2" s="7" t="s">
        <v>5</v>
      </c>
      <c r="L2" s="7" t="s">
        <v>6</v>
      </c>
    </row>
    <row r="3" spans="1:12">
      <c r="A3" s="48"/>
      <c r="B3" s="9" t="s">
        <v>7</v>
      </c>
      <c r="C3" s="9" t="s">
        <v>8</v>
      </c>
      <c r="D3" s="9" t="s">
        <v>9</v>
      </c>
      <c r="E3" s="10" t="s">
        <v>10</v>
      </c>
      <c r="F3" s="9" t="s">
        <v>11</v>
      </c>
      <c r="G3" s="9" t="s">
        <v>12</v>
      </c>
      <c r="H3" s="10" t="s">
        <v>13</v>
      </c>
      <c r="I3" s="10"/>
      <c r="J3" s="10" t="s">
        <v>14</v>
      </c>
      <c r="K3" s="11">
        <v>0.44</v>
      </c>
      <c r="L3" s="11">
        <v>0.56</v>
      </c>
    </row>
    <row r="4" spans="1:12">
      <c r="A4" s="13" t="s">
        <v>119</v>
      </c>
      <c r="B4" s="13">
        <v>34</v>
      </c>
      <c r="C4" s="13">
        <v>10</v>
      </c>
      <c r="D4" s="13">
        <v>20</v>
      </c>
      <c r="E4" s="13">
        <f t="shared" ref="E4:E6" si="0">SUM(B4:D4)</f>
        <v>64</v>
      </c>
      <c r="F4" s="13">
        <v>15</v>
      </c>
      <c r="G4" s="13">
        <v>80</v>
      </c>
      <c r="H4" s="13">
        <f t="shared" ref="H4:H67" si="1">F4*0.2+G4*0.8</f>
        <v>67</v>
      </c>
      <c r="I4" s="13">
        <f t="shared" ref="I4:I67" si="2">ROUND(E4*0.6+H4*0.4,0)</f>
        <v>65</v>
      </c>
      <c r="J4" s="13">
        <f t="shared" ref="J4:J67" si="3">ROUND(K4*0.44+L4*0.56,0)</f>
        <v>65</v>
      </c>
      <c r="K4" s="13">
        <f t="shared" ref="K4:K67" si="4">ROUND(B4/50*100*30/44+C4/10*100*6/44+F4*8/44,2)</f>
        <v>62.73</v>
      </c>
      <c r="L4" s="13">
        <f t="shared" ref="L4:L67" si="5">ROUND(D4/40*100*24/56+G4*32/56,2)</f>
        <v>67.14</v>
      </c>
    </row>
    <row r="5" spans="1:12">
      <c r="A5" s="13" t="s">
        <v>103</v>
      </c>
      <c r="B5" s="13">
        <v>50</v>
      </c>
      <c r="C5" s="13">
        <v>10</v>
      </c>
      <c r="D5" s="13">
        <v>40</v>
      </c>
      <c r="E5" s="13">
        <f t="shared" si="0"/>
        <v>100</v>
      </c>
      <c r="F5" s="13">
        <v>100</v>
      </c>
      <c r="G5" s="13">
        <v>100</v>
      </c>
      <c r="H5" s="13">
        <f t="shared" si="1"/>
        <v>100</v>
      </c>
      <c r="I5" s="13">
        <f t="shared" si="2"/>
        <v>100</v>
      </c>
      <c r="J5" s="13">
        <f t="shared" si="3"/>
        <v>100</v>
      </c>
      <c r="K5" s="13">
        <f t="shared" si="4"/>
        <v>100</v>
      </c>
      <c r="L5" s="13">
        <f t="shared" si="5"/>
        <v>100</v>
      </c>
    </row>
    <row r="6" spans="1:12">
      <c r="A6" s="13" t="s">
        <v>104</v>
      </c>
      <c r="B6" s="13">
        <f>50*0.6</f>
        <v>30</v>
      </c>
      <c r="C6" s="13">
        <f>10*0.6</f>
        <v>6</v>
      </c>
      <c r="D6" s="13">
        <f>40*0.6</f>
        <v>24</v>
      </c>
      <c r="E6" s="13">
        <f t="shared" si="0"/>
        <v>60</v>
      </c>
      <c r="F6" s="13">
        <v>70</v>
      </c>
      <c r="G6" s="13">
        <v>31</v>
      </c>
      <c r="H6" s="13">
        <f t="shared" si="1"/>
        <v>38.8</v>
      </c>
      <c r="I6" s="13">
        <f t="shared" si="2"/>
        <v>52</v>
      </c>
      <c r="J6" s="13">
        <f t="shared" si="3"/>
        <v>52</v>
      </c>
      <c r="K6" s="13">
        <f t="shared" si="4"/>
        <v>61.82</v>
      </c>
      <c r="L6" s="13">
        <f t="shared" si="5"/>
        <v>43.43</v>
      </c>
    </row>
    <row r="7" spans="1:12">
      <c r="A7" s="13" t="s">
        <v>120</v>
      </c>
      <c r="B7" s="13">
        <v>48</v>
      </c>
      <c r="C7" s="13">
        <v>10</v>
      </c>
      <c r="D7" s="49">
        <v>0</v>
      </c>
      <c r="E7" s="13">
        <v>58</v>
      </c>
      <c r="F7" s="50">
        <v>100</v>
      </c>
      <c r="G7" s="51">
        <v>48</v>
      </c>
      <c r="H7" s="13">
        <f t="shared" si="1"/>
        <v>58.4</v>
      </c>
      <c r="I7" s="13">
        <f t="shared" si="2"/>
        <v>58</v>
      </c>
      <c r="J7" s="13">
        <f t="shared" si="3"/>
        <v>58</v>
      </c>
      <c r="K7" s="13">
        <f t="shared" si="4"/>
        <v>97.27</v>
      </c>
      <c r="L7" s="13">
        <f t="shared" si="5"/>
        <v>27.43</v>
      </c>
    </row>
    <row r="8" spans="1:12">
      <c r="A8" s="13">
        <v>1</v>
      </c>
      <c r="B8" s="13">
        <v>23</v>
      </c>
      <c r="C8" s="13">
        <v>10</v>
      </c>
      <c r="D8" s="13">
        <v>38</v>
      </c>
      <c r="E8" s="49">
        <v>71</v>
      </c>
      <c r="F8" s="13">
        <v>0</v>
      </c>
      <c r="G8" s="13">
        <v>0</v>
      </c>
      <c r="H8" s="13">
        <f t="shared" si="1"/>
        <v>0</v>
      </c>
      <c r="I8" s="13">
        <f t="shared" si="2"/>
        <v>43</v>
      </c>
      <c r="J8" s="13">
        <f t="shared" si="3"/>
        <v>43</v>
      </c>
      <c r="K8" s="13">
        <f t="shared" si="4"/>
        <v>45</v>
      </c>
      <c r="L8" s="13">
        <f t="shared" si="5"/>
        <v>40.71</v>
      </c>
    </row>
    <row r="9" spans="1:12">
      <c r="A9" s="13">
        <v>2</v>
      </c>
      <c r="B9" s="13">
        <v>41</v>
      </c>
      <c r="C9" s="13">
        <v>9</v>
      </c>
      <c r="D9" s="13">
        <v>35</v>
      </c>
      <c r="E9" s="49">
        <v>85</v>
      </c>
      <c r="F9" s="13" t="s">
        <v>75</v>
      </c>
      <c r="G9" s="13">
        <v>56</v>
      </c>
      <c r="H9" s="13">
        <f t="shared" si="1"/>
        <v>56.8</v>
      </c>
      <c r="I9" s="13">
        <f t="shared" si="2"/>
        <v>74</v>
      </c>
      <c r="J9" s="13">
        <f t="shared" si="3"/>
        <v>74</v>
      </c>
      <c r="K9" s="13">
        <f t="shared" si="4"/>
        <v>79.09</v>
      </c>
      <c r="L9" s="13">
        <f t="shared" si="5"/>
        <v>69.5</v>
      </c>
    </row>
    <row r="10" spans="1:12">
      <c r="A10" s="13">
        <v>3</v>
      </c>
      <c r="B10" s="13">
        <v>43</v>
      </c>
      <c r="C10" s="13">
        <v>10</v>
      </c>
      <c r="D10" s="13">
        <v>38</v>
      </c>
      <c r="E10" s="49">
        <v>91</v>
      </c>
      <c r="F10" s="13" t="s">
        <v>85</v>
      </c>
      <c r="G10" s="13">
        <v>62</v>
      </c>
      <c r="H10" s="13">
        <f t="shared" si="1"/>
        <v>63.6</v>
      </c>
      <c r="I10" s="13">
        <f t="shared" si="2"/>
        <v>80</v>
      </c>
      <c r="J10" s="13">
        <f t="shared" si="3"/>
        <v>80</v>
      </c>
      <c r="K10" s="13">
        <f t="shared" si="4"/>
        <v>85</v>
      </c>
      <c r="L10" s="13">
        <f t="shared" si="5"/>
        <v>76.14</v>
      </c>
    </row>
    <row r="11" spans="1:12">
      <c r="A11" s="13">
        <v>4</v>
      </c>
      <c r="B11" s="13">
        <v>42</v>
      </c>
      <c r="C11" s="13">
        <v>9</v>
      </c>
      <c r="D11" s="13">
        <v>35</v>
      </c>
      <c r="E11" s="49">
        <v>86</v>
      </c>
      <c r="F11" s="13" t="s">
        <v>85</v>
      </c>
      <c r="G11" s="13">
        <v>38</v>
      </c>
      <c r="H11" s="13">
        <f t="shared" si="1"/>
        <v>44.4</v>
      </c>
      <c r="I11" s="13">
        <f t="shared" si="2"/>
        <v>69</v>
      </c>
      <c r="J11" s="13">
        <f t="shared" si="3"/>
        <v>69</v>
      </c>
      <c r="K11" s="13">
        <f t="shared" si="4"/>
        <v>82.27</v>
      </c>
      <c r="L11" s="13">
        <f t="shared" si="5"/>
        <v>59.21</v>
      </c>
    </row>
    <row r="12" spans="1:12">
      <c r="A12" s="13">
        <v>5</v>
      </c>
      <c r="B12" s="13">
        <v>41</v>
      </c>
      <c r="C12" s="13">
        <v>9</v>
      </c>
      <c r="D12" s="13">
        <v>38</v>
      </c>
      <c r="E12" s="49">
        <v>88</v>
      </c>
      <c r="F12" s="13" t="s">
        <v>90</v>
      </c>
      <c r="G12" s="13">
        <v>62</v>
      </c>
      <c r="H12" s="13">
        <f t="shared" si="1"/>
        <v>64.6</v>
      </c>
      <c r="I12" s="13">
        <f t="shared" si="2"/>
        <v>79</v>
      </c>
      <c r="J12" s="13">
        <f t="shared" si="3"/>
        <v>79</v>
      </c>
      <c r="K12" s="13">
        <f t="shared" si="4"/>
        <v>81.82</v>
      </c>
      <c r="L12" s="13">
        <f t="shared" si="5"/>
        <v>76.14</v>
      </c>
    </row>
    <row r="13" spans="1:12">
      <c r="A13" s="13">
        <v>6</v>
      </c>
      <c r="B13" s="13">
        <v>41</v>
      </c>
      <c r="C13" s="13">
        <v>9</v>
      </c>
      <c r="D13" s="13">
        <v>40</v>
      </c>
      <c r="E13" s="49">
        <v>90</v>
      </c>
      <c r="F13" s="13" t="s">
        <v>100</v>
      </c>
      <c r="G13" s="13">
        <v>38</v>
      </c>
      <c r="H13" s="13">
        <f t="shared" si="1"/>
        <v>47.4</v>
      </c>
      <c r="I13" s="13">
        <f t="shared" si="2"/>
        <v>73</v>
      </c>
      <c r="J13" s="13">
        <f t="shared" si="3"/>
        <v>73</v>
      </c>
      <c r="K13" s="13">
        <f t="shared" si="4"/>
        <v>83.64</v>
      </c>
      <c r="L13" s="13">
        <f t="shared" si="5"/>
        <v>64.57</v>
      </c>
    </row>
    <row r="14" spans="1:12">
      <c r="A14" s="13">
        <v>7</v>
      </c>
      <c r="B14" s="13">
        <v>44</v>
      </c>
      <c r="C14" s="13">
        <v>10</v>
      </c>
      <c r="D14" s="13">
        <v>39</v>
      </c>
      <c r="E14" s="49">
        <v>93</v>
      </c>
      <c r="F14" s="13" t="s">
        <v>90</v>
      </c>
      <c r="G14" s="13">
        <v>50</v>
      </c>
      <c r="H14" s="13">
        <f t="shared" si="1"/>
        <v>55</v>
      </c>
      <c r="I14" s="13">
        <f t="shared" si="2"/>
        <v>78</v>
      </c>
      <c r="J14" s="13">
        <f t="shared" si="3"/>
        <v>78</v>
      </c>
      <c r="K14" s="13">
        <f t="shared" si="4"/>
        <v>87.27</v>
      </c>
      <c r="L14" s="13">
        <f t="shared" si="5"/>
        <v>70.36</v>
      </c>
    </row>
    <row r="15" spans="1:12">
      <c r="A15" s="13">
        <v>8</v>
      </c>
      <c r="B15" s="13">
        <v>42</v>
      </c>
      <c r="C15" s="13">
        <v>9</v>
      </c>
      <c r="D15" s="13">
        <v>38</v>
      </c>
      <c r="E15" s="49">
        <v>89</v>
      </c>
      <c r="F15" s="13" t="s">
        <v>90</v>
      </c>
      <c r="G15" s="13">
        <v>42</v>
      </c>
      <c r="H15" s="13">
        <f t="shared" si="1"/>
        <v>48.6</v>
      </c>
      <c r="I15" s="13">
        <f t="shared" si="2"/>
        <v>73</v>
      </c>
      <c r="J15" s="13">
        <f t="shared" si="3"/>
        <v>73</v>
      </c>
      <c r="K15" s="13">
        <f t="shared" si="4"/>
        <v>83.18</v>
      </c>
      <c r="L15" s="13">
        <f t="shared" si="5"/>
        <v>64.71</v>
      </c>
    </row>
    <row r="16" spans="1:12">
      <c r="A16" s="13">
        <v>9</v>
      </c>
      <c r="B16" s="13">
        <v>22</v>
      </c>
      <c r="C16" s="13">
        <v>0</v>
      </c>
      <c r="D16" s="13">
        <v>39</v>
      </c>
      <c r="E16" s="49">
        <v>61</v>
      </c>
      <c r="F16" s="13" t="s">
        <v>85</v>
      </c>
      <c r="G16" s="13">
        <v>64</v>
      </c>
      <c r="H16" s="13">
        <f t="shared" si="1"/>
        <v>65.2</v>
      </c>
      <c r="I16" s="13">
        <f t="shared" si="2"/>
        <v>63</v>
      </c>
      <c r="J16" s="13">
        <f t="shared" si="3"/>
        <v>63</v>
      </c>
      <c r="K16" s="13">
        <f t="shared" si="4"/>
        <v>42.73</v>
      </c>
      <c r="L16" s="13">
        <f t="shared" si="5"/>
        <v>78.36</v>
      </c>
    </row>
    <row r="17" spans="1:12">
      <c r="A17" s="13">
        <v>10</v>
      </c>
      <c r="B17" s="13">
        <v>40</v>
      </c>
      <c r="C17" s="13">
        <v>10</v>
      </c>
      <c r="D17" s="13">
        <v>39</v>
      </c>
      <c r="E17" s="49">
        <v>89</v>
      </c>
      <c r="F17" s="13" t="s">
        <v>90</v>
      </c>
      <c r="G17" s="13">
        <v>56</v>
      </c>
      <c r="H17" s="13">
        <f t="shared" si="1"/>
        <v>59.8</v>
      </c>
      <c r="I17" s="13">
        <f t="shared" si="2"/>
        <v>77</v>
      </c>
      <c r="J17" s="13">
        <f t="shared" si="3"/>
        <v>77</v>
      </c>
      <c r="K17" s="13">
        <f t="shared" si="4"/>
        <v>81.82</v>
      </c>
      <c r="L17" s="13">
        <f t="shared" si="5"/>
        <v>73.79</v>
      </c>
    </row>
    <row r="18" spans="1:12">
      <c r="A18" s="13">
        <v>11</v>
      </c>
      <c r="B18" s="13">
        <v>41</v>
      </c>
      <c r="C18" s="13">
        <v>9</v>
      </c>
      <c r="D18" s="13">
        <v>38</v>
      </c>
      <c r="E18" s="49">
        <v>88</v>
      </c>
      <c r="F18" s="13" t="s">
        <v>90</v>
      </c>
      <c r="G18" s="13">
        <v>40</v>
      </c>
      <c r="H18" s="13">
        <f t="shared" si="1"/>
        <v>47</v>
      </c>
      <c r="I18" s="13">
        <f t="shared" si="2"/>
        <v>72</v>
      </c>
      <c r="J18" s="13">
        <f t="shared" si="3"/>
        <v>72</v>
      </c>
      <c r="K18" s="13">
        <f t="shared" si="4"/>
        <v>81.82</v>
      </c>
      <c r="L18" s="13">
        <f t="shared" si="5"/>
        <v>63.57</v>
      </c>
    </row>
    <row r="19" spans="1:12">
      <c r="A19" s="13">
        <v>12</v>
      </c>
      <c r="B19" s="13">
        <v>40</v>
      </c>
      <c r="C19" s="13">
        <v>10</v>
      </c>
      <c r="D19" s="13">
        <v>39</v>
      </c>
      <c r="E19" s="49">
        <v>89</v>
      </c>
      <c r="F19" s="13" t="s">
        <v>90</v>
      </c>
      <c r="G19" s="13">
        <v>36</v>
      </c>
      <c r="H19" s="13">
        <f t="shared" si="1"/>
        <v>43.8</v>
      </c>
      <c r="I19" s="13">
        <f t="shared" si="2"/>
        <v>71</v>
      </c>
      <c r="J19" s="13">
        <f t="shared" si="3"/>
        <v>71</v>
      </c>
      <c r="K19" s="13">
        <f t="shared" si="4"/>
        <v>81.82</v>
      </c>
      <c r="L19" s="13">
        <f t="shared" si="5"/>
        <v>62.36</v>
      </c>
    </row>
    <row r="20" spans="1:12">
      <c r="A20" s="13">
        <v>13</v>
      </c>
      <c r="B20" s="13">
        <v>44</v>
      </c>
      <c r="C20" s="13">
        <v>10</v>
      </c>
      <c r="D20" s="13">
        <v>36</v>
      </c>
      <c r="E20" s="49">
        <v>90</v>
      </c>
      <c r="F20" s="13" t="s">
        <v>85</v>
      </c>
      <c r="G20" s="13">
        <v>46</v>
      </c>
      <c r="H20" s="13">
        <f t="shared" si="1"/>
        <v>50.8</v>
      </c>
      <c r="I20" s="13">
        <f t="shared" si="2"/>
        <v>74</v>
      </c>
      <c r="J20" s="13">
        <f t="shared" si="3"/>
        <v>74</v>
      </c>
      <c r="K20" s="13">
        <f t="shared" si="4"/>
        <v>86.36</v>
      </c>
      <c r="L20" s="13">
        <f t="shared" si="5"/>
        <v>64.86</v>
      </c>
    </row>
    <row r="21" spans="1:12">
      <c r="A21" s="13">
        <v>14</v>
      </c>
      <c r="B21" s="13">
        <v>40</v>
      </c>
      <c r="C21" s="13">
        <v>8</v>
      </c>
      <c r="D21" s="13">
        <v>37</v>
      </c>
      <c r="E21" s="49">
        <v>85</v>
      </c>
      <c r="F21" s="13" t="s">
        <v>75</v>
      </c>
      <c r="G21" s="13">
        <v>40</v>
      </c>
      <c r="H21" s="13">
        <f t="shared" si="1"/>
        <v>44</v>
      </c>
      <c r="I21" s="13">
        <f t="shared" si="2"/>
        <v>69</v>
      </c>
      <c r="J21" s="13">
        <f t="shared" si="3"/>
        <v>69</v>
      </c>
      <c r="K21" s="13">
        <f t="shared" si="4"/>
        <v>76.36</v>
      </c>
      <c r="L21" s="13">
        <f t="shared" si="5"/>
        <v>62.5</v>
      </c>
    </row>
    <row r="22" spans="1:12">
      <c r="A22" s="13">
        <v>15</v>
      </c>
      <c r="B22" s="13">
        <v>43</v>
      </c>
      <c r="C22" s="13">
        <v>9</v>
      </c>
      <c r="D22" s="13">
        <v>38</v>
      </c>
      <c r="E22" s="49">
        <v>90</v>
      </c>
      <c r="F22" s="13" t="s">
        <v>90</v>
      </c>
      <c r="G22" s="13">
        <v>44</v>
      </c>
      <c r="H22" s="13">
        <f t="shared" si="1"/>
        <v>50.2</v>
      </c>
      <c r="I22" s="13">
        <f t="shared" si="2"/>
        <v>74</v>
      </c>
      <c r="J22" s="13">
        <f t="shared" si="3"/>
        <v>74</v>
      </c>
      <c r="K22" s="13">
        <f t="shared" si="4"/>
        <v>84.55</v>
      </c>
      <c r="L22" s="13">
        <f t="shared" si="5"/>
        <v>65.86</v>
      </c>
    </row>
    <row r="23" spans="1:12">
      <c r="A23" s="13">
        <v>16</v>
      </c>
      <c r="B23" s="13">
        <v>46</v>
      </c>
      <c r="C23" s="13">
        <v>10</v>
      </c>
      <c r="D23" s="13">
        <v>37</v>
      </c>
      <c r="E23" s="49">
        <v>93</v>
      </c>
      <c r="F23" s="13" t="s">
        <v>90</v>
      </c>
      <c r="G23" s="13">
        <v>56</v>
      </c>
      <c r="H23" s="13">
        <f t="shared" si="1"/>
        <v>59.8</v>
      </c>
      <c r="I23" s="13">
        <f t="shared" si="2"/>
        <v>80</v>
      </c>
      <c r="J23" s="13">
        <f t="shared" si="3"/>
        <v>80</v>
      </c>
      <c r="K23" s="13">
        <f t="shared" si="4"/>
        <v>90</v>
      </c>
      <c r="L23" s="13">
        <f t="shared" si="5"/>
        <v>71.64</v>
      </c>
    </row>
    <row r="24" spans="1:12">
      <c r="A24" s="13">
        <v>17</v>
      </c>
      <c r="B24" s="13">
        <v>33</v>
      </c>
      <c r="C24" s="13">
        <v>7</v>
      </c>
      <c r="D24" s="13">
        <v>37</v>
      </c>
      <c r="E24" s="49">
        <v>77</v>
      </c>
      <c r="F24" s="13" t="s">
        <v>90</v>
      </c>
      <c r="G24" s="13">
        <v>34</v>
      </c>
      <c r="H24" s="13">
        <f t="shared" si="1"/>
        <v>42.2</v>
      </c>
      <c r="I24" s="13">
        <f t="shared" si="2"/>
        <v>63</v>
      </c>
      <c r="J24" s="13">
        <f t="shared" si="3"/>
        <v>63</v>
      </c>
      <c r="K24" s="13">
        <f t="shared" si="4"/>
        <v>68.18</v>
      </c>
      <c r="L24" s="13">
        <f t="shared" si="5"/>
        <v>59.07</v>
      </c>
    </row>
    <row r="25" spans="1:12">
      <c r="A25" s="13">
        <v>18</v>
      </c>
      <c r="B25" s="13">
        <v>41</v>
      </c>
      <c r="C25" s="13">
        <v>10</v>
      </c>
      <c r="D25" s="13">
        <v>40</v>
      </c>
      <c r="E25" s="49">
        <v>91</v>
      </c>
      <c r="F25" s="13" t="s">
        <v>90</v>
      </c>
      <c r="G25" s="13">
        <v>54</v>
      </c>
      <c r="H25" s="13">
        <f t="shared" si="1"/>
        <v>58.2</v>
      </c>
      <c r="I25" s="13">
        <f t="shared" si="2"/>
        <v>78</v>
      </c>
      <c r="J25" s="13">
        <f t="shared" si="3"/>
        <v>78</v>
      </c>
      <c r="K25" s="13">
        <f t="shared" si="4"/>
        <v>83.18</v>
      </c>
      <c r="L25" s="13">
        <f t="shared" si="5"/>
        <v>73.71</v>
      </c>
    </row>
    <row r="26" spans="1:12">
      <c r="A26" s="13">
        <v>19</v>
      </c>
      <c r="B26" s="13">
        <v>41</v>
      </c>
      <c r="C26" s="13">
        <v>9</v>
      </c>
      <c r="D26" s="13">
        <v>37</v>
      </c>
      <c r="E26" s="49">
        <v>87</v>
      </c>
      <c r="F26" s="13" t="s">
        <v>90</v>
      </c>
      <c r="G26" s="13">
        <v>58</v>
      </c>
      <c r="H26" s="13">
        <f t="shared" si="1"/>
        <v>61.4</v>
      </c>
      <c r="I26" s="13">
        <f t="shared" si="2"/>
        <v>77</v>
      </c>
      <c r="J26" s="13">
        <f t="shared" si="3"/>
        <v>77</v>
      </c>
      <c r="K26" s="13">
        <f t="shared" si="4"/>
        <v>81.82</v>
      </c>
      <c r="L26" s="13">
        <f t="shared" si="5"/>
        <v>72.79</v>
      </c>
    </row>
    <row r="27" spans="1:12">
      <c r="A27" s="13">
        <v>20</v>
      </c>
      <c r="B27" s="13">
        <v>45</v>
      </c>
      <c r="C27" s="13">
        <v>10</v>
      </c>
      <c r="D27" s="13">
        <v>37</v>
      </c>
      <c r="E27" s="49">
        <v>92</v>
      </c>
      <c r="F27" s="13" t="s">
        <v>85</v>
      </c>
      <c r="G27" s="13">
        <v>56</v>
      </c>
      <c r="H27" s="13">
        <f t="shared" si="1"/>
        <v>58.8</v>
      </c>
      <c r="I27" s="13">
        <f t="shared" si="2"/>
        <v>79</v>
      </c>
      <c r="J27" s="13">
        <f t="shared" si="3"/>
        <v>79</v>
      </c>
      <c r="K27" s="13">
        <f t="shared" si="4"/>
        <v>87.73</v>
      </c>
      <c r="L27" s="13">
        <f t="shared" si="5"/>
        <v>71.64</v>
      </c>
    </row>
    <row r="28" spans="1:12">
      <c r="A28" s="13">
        <v>21</v>
      </c>
      <c r="B28" s="13">
        <v>40</v>
      </c>
      <c r="C28" s="13">
        <v>10</v>
      </c>
      <c r="D28" s="13">
        <v>39</v>
      </c>
      <c r="E28" s="49">
        <v>89</v>
      </c>
      <c r="F28" s="13" t="s">
        <v>90</v>
      </c>
      <c r="G28" s="13">
        <v>56</v>
      </c>
      <c r="H28" s="13">
        <f t="shared" si="1"/>
        <v>59.8</v>
      </c>
      <c r="I28" s="13">
        <f t="shared" si="2"/>
        <v>77</v>
      </c>
      <c r="J28" s="13">
        <f t="shared" si="3"/>
        <v>77</v>
      </c>
      <c r="K28" s="13">
        <f t="shared" si="4"/>
        <v>81.82</v>
      </c>
      <c r="L28" s="13">
        <f t="shared" si="5"/>
        <v>73.79</v>
      </c>
    </row>
    <row r="29" spans="1:12">
      <c r="A29" s="13">
        <v>22</v>
      </c>
      <c r="B29" s="13">
        <v>40</v>
      </c>
      <c r="C29" s="13">
        <v>10</v>
      </c>
      <c r="D29" s="13">
        <v>38</v>
      </c>
      <c r="E29" s="49">
        <v>88</v>
      </c>
      <c r="F29" s="13" t="s">
        <v>85</v>
      </c>
      <c r="G29" s="13">
        <v>40</v>
      </c>
      <c r="H29" s="13">
        <f t="shared" si="1"/>
        <v>46</v>
      </c>
      <c r="I29" s="13">
        <f t="shared" si="2"/>
        <v>71</v>
      </c>
      <c r="J29" s="13">
        <f t="shared" si="3"/>
        <v>71</v>
      </c>
      <c r="K29" s="13">
        <f t="shared" si="4"/>
        <v>80.91</v>
      </c>
      <c r="L29" s="13">
        <f t="shared" si="5"/>
        <v>63.57</v>
      </c>
    </row>
    <row r="30" spans="1:12">
      <c r="A30" s="13">
        <v>23</v>
      </c>
      <c r="B30" s="13">
        <v>46</v>
      </c>
      <c r="C30" s="13">
        <v>10</v>
      </c>
      <c r="D30" s="13">
        <v>38</v>
      </c>
      <c r="E30" s="49">
        <v>94</v>
      </c>
      <c r="F30" s="13" t="s">
        <v>90</v>
      </c>
      <c r="G30" s="13">
        <v>60</v>
      </c>
      <c r="H30" s="13">
        <f t="shared" si="1"/>
        <v>63</v>
      </c>
      <c r="I30" s="13">
        <f t="shared" si="2"/>
        <v>82</v>
      </c>
      <c r="J30" s="13">
        <f t="shared" si="3"/>
        <v>82</v>
      </c>
      <c r="K30" s="13">
        <f t="shared" si="4"/>
        <v>90</v>
      </c>
      <c r="L30" s="13">
        <f t="shared" si="5"/>
        <v>75</v>
      </c>
    </row>
    <row r="31" spans="1:12">
      <c r="A31" s="13">
        <v>24</v>
      </c>
      <c r="B31" s="13">
        <v>43</v>
      </c>
      <c r="C31" s="13">
        <v>10</v>
      </c>
      <c r="D31" s="13">
        <v>38</v>
      </c>
      <c r="E31" s="49">
        <v>91</v>
      </c>
      <c r="F31" s="13" t="s">
        <v>85</v>
      </c>
      <c r="G31" s="13">
        <v>46</v>
      </c>
      <c r="H31" s="13">
        <f t="shared" si="1"/>
        <v>50.8</v>
      </c>
      <c r="I31" s="13">
        <f t="shared" si="2"/>
        <v>75</v>
      </c>
      <c r="J31" s="13">
        <f t="shared" si="3"/>
        <v>75</v>
      </c>
      <c r="K31" s="13">
        <f t="shared" si="4"/>
        <v>85</v>
      </c>
      <c r="L31" s="13">
        <f t="shared" si="5"/>
        <v>67</v>
      </c>
    </row>
    <row r="32" spans="1:12">
      <c r="A32" s="13">
        <v>25</v>
      </c>
      <c r="B32" s="13">
        <v>43</v>
      </c>
      <c r="C32" s="13">
        <v>9</v>
      </c>
      <c r="D32" s="13">
        <v>38</v>
      </c>
      <c r="E32" s="49">
        <v>90</v>
      </c>
      <c r="F32" s="13" t="s">
        <v>85</v>
      </c>
      <c r="G32" s="13">
        <v>48</v>
      </c>
      <c r="H32" s="13">
        <f t="shared" si="1"/>
        <v>52.4</v>
      </c>
      <c r="I32" s="13">
        <f t="shared" si="2"/>
        <v>75</v>
      </c>
      <c r="J32" s="13">
        <f t="shared" si="3"/>
        <v>75</v>
      </c>
      <c r="K32" s="13">
        <f t="shared" si="4"/>
        <v>83.64</v>
      </c>
      <c r="L32" s="13">
        <f t="shared" si="5"/>
        <v>68.14</v>
      </c>
    </row>
    <row r="33" spans="1:12">
      <c r="A33" s="13">
        <v>26</v>
      </c>
      <c r="B33" s="13">
        <v>41</v>
      </c>
      <c r="C33" s="13">
        <v>10</v>
      </c>
      <c r="D33" s="13">
        <v>39</v>
      </c>
      <c r="E33" s="49">
        <v>90</v>
      </c>
      <c r="F33" s="13" t="s">
        <v>91</v>
      </c>
      <c r="G33" s="13">
        <v>46</v>
      </c>
      <c r="H33" s="13">
        <f t="shared" si="1"/>
        <v>52</v>
      </c>
      <c r="I33" s="13">
        <f t="shared" si="2"/>
        <v>75</v>
      </c>
      <c r="J33" s="13">
        <f t="shared" si="3"/>
        <v>75</v>
      </c>
      <c r="K33" s="13">
        <f t="shared" si="4"/>
        <v>83.36</v>
      </c>
      <c r="L33" s="13">
        <f t="shared" si="5"/>
        <v>68.07</v>
      </c>
    </row>
    <row r="34" spans="1:12">
      <c r="A34" s="13">
        <v>27</v>
      </c>
      <c r="B34" s="13">
        <v>41</v>
      </c>
      <c r="C34" s="13">
        <v>10</v>
      </c>
      <c r="D34" s="13">
        <v>39</v>
      </c>
      <c r="E34" s="49">
        <v>90</v>
      </c>
      <c r="F34" s="13" t="s">
        <v>85</v>
      </c>
      <c r="G34" s="13">
        <v>38</v>
      </c>
      <c r="H34" s="13">
        <f t="shared" si="1"/>
        <v>44.4</v>
      </c>
      <c r="I34" s="13">
        <f t="shared" si="2"/>
        <v>72</v>
      </c>
      <c r="J34" s="13">
        <f t="shared" si="3"/>
        <v>72</v>
      </c>
      <c r="K34" s="13">
        <f t="shared" si="4"/>
        <v>82.27</v>
      </c>
      <c r="L34" s="13">
        <f t="shared" si="5"/>
        <v>63.5</v>
      </c>
    </row>
    <row r="35" spans="1:12">
      <c r="A35" s="13">
        <v>28</v>
      </c>
      <c r="B35" s="13">
        <v>40</v>
      </c>
      <c r="C35" s="13">
        <v>10</v>
      </c>
      <c r="D35" s="13">
        <v>37</v>
      </c>
      <c r="E35" s="49">
        <v>87</v>
      </c>
      <c r="F35" s="13" t="s">
        <v>90</v>
      </c>
      <c r="G35" s="13">
        <v>36</v>
      </c>
      <c r="H35" s="13">
        <f t="shared" si="1"/>
        <v>43.8</v>
      </c>
      <c r="I35" s="13">
        <f t="shared" si="2"/>
        <v>70</v>
      </c>
      <c r="J35" s="13">
        <f t="shared" si="3"/>
        <v>70</v>
      </c>
      <c r="K35" s="13">
        <f t="shared" si="4"/>
        <v>81.82</v>
      </c>
      <c r="L35" s="13">
        <f t="shared" si="5"/>
        <v>60.21</v>
      </c>
    </row>
    <row r="36" spans="1:12">
      <c r="A36" s="13">
        <v>29</v>
      </c>
      <c r="B36" s="13">
        <v>46</v>
      </c>
      <c r="C36" s="13">
        <v>10</v>
      </c>
      <c r="D36" s="13">
        <v>38</v>
      </c>
      <c r="E36" s="49">
        <v>94</v>
      </c>
      <c r="F36" s="13" t="s">
        <v>85</v>
      </c>
      <c r="G36" s="13">
        <v>66</v>
      </c>
      <c r="H36" s="13">
        <f t="shared" si="1"/>
        <v>66.8</v>
      </c>
      <c r="I36" s="13">
        <f t="shared" si="2"/>
        <v>83</v>
      </c>
      <c r="J36" s="13">
        <f t="shared" si="3"/>
        <v>83</v>
      </c>
      <c r="K36" s="13">
        <f t="shared" si="4"/>
        <v>89.09</v>
      </c>
      <c r="L36" s="13">
        <f t="shared" si="5"/>
        <v>78.43</v>
      </c>
    </row>
    <row r="37" spans="1:12">
      <c r="A37" s="13">
        <v>30</v>
      </c>
      <c r="B37" s="13">
        <v>40</v>
      </c>
      <c r="C37" s="13">
        <v>9</v>
      </c>
      <c r="D37" s="13">
        <v>39</v>
      </c>
      <c r="E37" s="49">
        <v>88</v>
      </c>
      <c r="F37" s="13" t="s">
        <v>75</v>
      </c>
      <c r="G37" s="13">
        <v>44</v>
      </c>
      <c r="H37" s="13">
        <f t="shared" si="1"/>
        <v>47.2</v>
      </c>
      <c r="I37" s="13">
        <f t="shared" si="2"/>
        <v>72</v>
      </c>
      <c r="J37" s="13">
        <f t="shared" si="3"/>
        <v>72</v>
      </c>
      <c r="K37" s="13">
        <f t="shared" si="4"/>
        <v>77.73</v>
      </c>
      <c r="L37" s="13">
        <f t="shared" si="5"/>
        <v>66.93</v>
      </c>
    </row>
    <row r="38" spans="1:12">
      <c r="A38" s="13">
        <v>31</v>
      </c>
      <c r="B38" s="13">
        <v>40</v>
      </c>
      <c r="C38" s="13">
        <v>10</v>
      </c>
      <c r="D38" s="13">
        <v>40</v>
      </c>
      <c r="E38" s="49">
        <v>90</v>
      </c>
      <c r="F38" s="13" t="s">
        <v>85</v>
      </c>
      <c r="G38" s="13">
        <v>62</v>
      </c>
      <c r="H38" s="13">
        <f t="shared" si="1"/>
        <v>63.6</v>
      </c>
      <c r="I38" s="13">
        <f t="shared" si="2"/>
        <v>79</v>
      </c>
      <c r="J38" s="13">
        <f t="shared" si="3"/>
        <v>79</v>
      </c>
      <c r="K38" s="13">
        <f t="shared" si="4"/>
        <v>80.91</v>
      </c>
      <c r="L38" s="13">
        <f t="shared" si="5"/>
        <v>78.29</v>
      </c>
    </row>
    <row r="39" spans="1:12">
      <c r="A39" s="13">
        <v>32</v>
      </c>
      <c r="B39" s="13">
        <v>44</v>
      </c>
      <c r="C39" s="13">
        <v>9</v>
      </c>
      <c r="D39" s="13">
        <v>37</v>
      </c>
      <c r="E39" s="49">
        <v>90</v>
      </c>
      <c r="F39" s="13" t="s">
        <v>90</v>
      </c>
      <c r="G39" s="13">
        <v>58</v>
      </c>
      <c r="H39" s="13">
        <f t="shared" si="1"/>
        <v>61.4</v>
      </c>
      <c r="I39" s="13">
        <f t="shared" si="2"/>
        <v>79</v>
      </c>
      <c r="J39" s="13">
        <f t="shared" si="3"/>
        <v>79</v>
      </c>
      <c r="K39" s="13">
        <f t="shared" si="4"/>
        <v>85.91</v>
      </c>
      <c r="L39" s="13">
        <f t="shared" si="5"/>
        <v>72.79</v>
      </c>
    </row>
    <row r="40" spans="1:12">
      <c r="A40" s="13">
        <v>33</v>
      </c>
      <c r="B40" s="13">
        <v>42</v>
      </c>
      <c r="C40" s="13">
        <v>10</v>
      </c>
      <c r="D40" s="13">
        <v>39</v>
      </c>
      <c r="E40" s="49">
        <v>91</v>
      </c>
      <c r="F40" s="13" t="s">
        <v>90</v>
      </c>
      <c r="G40" s="13">
        <v>40</v>
      </c>
      <c r="H40" s="13">
        <f t="shared" si="1"/>
        <v>47</v>
      </c>
      <c r="I40" s="13">
        <f t="shared" si="2"/>
        <v>73</v>
      </c>
      <c r="J40" s="13">
        <f t="shared" si="3"/>
        <v>73</v>
      </c>
      <c r="K40" s="13">
        <f t="shared" si="4"/>
        <v>84.55</v>
      </c>
      <c r="L40" s="13">
        <f t="shared" si="5"/>
        <v>64.64</v>
      </c>
    </row>
    <row r="41" spans="1:12">
      <c r="A41" s="13">
        <v>34</v>
      </c>
      <c r="B41" s="13">
        <v>44</v>
      </c>
      <c r="C41" s="13">
        <v>10</v>
      </c>
      <c r="D41" s="13">
        <v>38</v>
      </c>
      <c r="E41" s="49">
        <v>92</v>
      </c>
      <c r="F41" s="13" t="s">
        <v>85</v>
      </c>
      <c r="G41" s="13">
        <v>66</v>
      </c>
      <c r="H41" s="13">
        <f t="shared" si="1"/>
        <v>66.8</v>
      </c>
      <c r="I41" s="13">
        <f t="shared" si="2"/>
        <v>82</v>
      </c>
      <c r="J41" s="13">
        <f t="shared" si="3"/>
        <v>82</v>
      </c>
      <c r="K41" s="13">
        <f t="shared" si="4"/>
        <v>86.36</v>
      </c>
      <c r="L41" s="13">
        <f t="shared" si="5"/>
        <v>78.43</v>
      </c>
    </row>
    <row r="42" spans="1:12">
      <c r="A42" s="13">
        <v>35</v>
      </c>
      <c r="B42" s="13">
        <v>42</v>
      </c>
      <c r="C42" s="13">
        <v>9</v>
      </c>
      <c r="D42" s="13">
        <v>38</v>
      </c>
      <c r="E42" s="49">
        <v>89</v>
      </c>
      <c r="F42" s="13" t="s">
        <v>90</v>
      </c>
      <c r="G42" s="13">
        <v>40</v>
      </c>
      <c r="H42" s="13">
        <f t="shared" si="1"/>
        <v>47</v>
      </c>
      <c r="I42" s="13">
        <f t="shared" si="2"/>
        <v>72</v>
      </c>
      <c r="J42" s="13">
        <f t="shared" si="3"/>
        <v>72</v>
      </c>
      <c r="K42" s="13">
        <f t="shared" si="4"/>
        <v>83.18</v>
      </c>
      <c r="L42" s="13">
        <f t="shared" si="5"/>
        <v>63.57</v>
      </c>
    </row>
    <row r="43" spans="1:12">
      <c r="A43" s="13">
        <v>36</v>
      </c>
      <c r="B43" s="13">
        <v>40</v>
      </c>
      <c r="C43" s="13">
        <v>9</v>
      </c>
      <c r="D43" s="13">
        <v>38</v>
      </c>
      <c r="E43" s="49">
        <v>87</v>
      </c>
      <c r="F43" s="13" t="s">
        <v>85</v>
      </c>
      <c r="G43" s="13">
        <v>40</v>
      </c>
      <c r="H43" s="13">
        <f t="shared" si="1"/>
        <v>46</v>
      </c>
      <c r="I43" s="13">
        <f t="shared" si="2"/>
        <v>71</v>
      </c>
      <c r="J43" s="13">
        <f t="shared" si="3"/>
        <v>71</v>
      </c>
      <c r="K43" s="13">
        <f t="shared" si="4"/>
        <v>79.55</v>
      </c>
      <c r="L43" s="13">
        <f t="shared" si="5"/>
        <v>63.57</v>
      </c>
    </row>
    <row r="44" spans="1:12">
      <c r="A44" s="13">
        <v>37</v>
      </c>
      <c r="B44" s="13">
        <v>46</v>
      </c>
      <c r="C44" s="13">
        <v>10</v>
      </c>
      <c r="D44" s="13">
        <v>38</v>
      </c>
      <c r="E44" s="49">
        <v>94</v>
      </c>
      <c r="F44" s="13" t="s">
        <v>90</v>
      </c>
      <c r="G44" s="13">
        <v>50</v>
      </c>
      <c r="H44" s="13">
        <f t="shared" si="1"/>
        <v>55</v>
      </c>
      <c r="I44" s="13">
        <f t="shared" si="2"/>
        <v>78</v>
      </c>
      <c r="J44" s="13">
        <f t="shared" si="3"/>
        <v>78</v>
      </c>
      <c r="K44" s="13">
        <f t="shared" si="4"/>
        <v>90</v>
      </c>
      <c r="L44" s="13">
        <f t="shared" si="5"/>
        <v>69.29</v>
      </c>
    </row>
    <row r="45" spans="1:12">
      <c r="A45" s="13">
        <v>38</v>
      </c>
      <c r="B45" s="13">
        <v>41</v>
      </c>
      <c r="C45" s="13">
        <v>10</v>
      </c>
      <c r="D45" s="13">
        <v>36</v>
      </c>
      <c r="E45" s="49">
        <v>87</v>
      </c>
      <c r="F45" s="13" t="s">
        <v>90</v>
      </c>
      <c r="G45" s="13">
        <v>50</v>
      </c>
      <c r="H45" s="13">
        <f t="shared" si="1"/>
        <v>55</v>
      </c>
      <c r="I45" s="13">
        <f t="shared" si="2"/>
        <v>74</v>
      </c>
      <c r="J45" s="13">
        <f t="shared" si="3"/>
        <v>74</v>
      </c>
      <c r="K45" s="13">
        <f t="shared" si="4"/>
        <v>83.18</v>
      </c>
      <c r="L45" s="13">
        <f t="shared" si="5"/>
        <v>67.14</v>
      </c>
    </row>
    <row r="46" spans="1:12">
      <c r="A46" s="13">
        <v>39</v>
      </c>
      <c r="B46" s="13">
        <v>47</v>
      </c>
      <c r="C46" s="13">
        <v>10</v>
      </c>
      <c r="D46" s="13">
        <v>38</v>
      </c>
      <c r="E46" s="49">
        <v>95</v>
      </c>
      <c r="F46" s="13" t="s">
        <v>90</v>
      </c>
      <c r="G46" s="13">
        <v>40</v>
      </c>
      <c r="H46" s="13">
        <f t="shared" si="1"/>
        <v>47</v>
      </c>
      <c r="I46" s="13">
        <f t="shared" si="2"/>
        <v>76</v>
      </c>
      <c r="J46" s="13">
        <f t="shared" si="3"/>
        <v>76</v>
      </c>
      <c r="K46" s="13">
        <f t="shared" si="4"/>
        <v>91.36</v>
      </c>
      <c r="L46" s="13">
        <f t="shared" si="5"/>
        <v>63.57</v>
      </c>
    </row>
    <row r="47" spans="1:12">
      <c r="A47" s="13">
        <v>40</v>
      </c>
      <c r="B47" s="13">
        <v>40</v>
      </c>
      <c r="C47" s="13">
        <v>9</v>
      </c>
      <c r="D47" s="13">
        <v>40</v>
      </c>
      <c r="E47" s="49">
        <v>89</v>
      </c>
      <c r="F47" s="13" t="s">
        <v>90</v>
      </c>
      <c r="G47" s="13">
        <v>56</v>
      </c>
      <c r="H47" s="13">
        <f t="shared" si="1"/>
        <v>59.8</v>
      </c>
      <c r="I47" s="13">
        <f t="shared" si="2"/>
        <v>77</v>
      </c>
      <c r="J47" s="13">
        <f t="shared" si="3"/>
        <v>77</v>
      </c>
      <c r="K47" s="13">
        <f t="shared" si="4"/>
        <v>80.45</v>
      </c>
      <c r="L47" s="13">
        <f t="shared" si="5"/>
        <v>74.86</v>
      </c>
    </row>
    <row r="48" spans="1:12">
      <c r="A48" s="13">
        <v>41</v>
      </c>
      <c r="B48" s="13">
        <v>41</v>
      </c>
      <c r="C48" s="13">
        <v>10</v>
      </c>
      <c r="D48" s="13">
        <v>38</v>
      </c>
      <c r="E48" s="49">
        <v>89</v>
      </c>
      <c r="F48" s="13" t="s">
        <v>90</v>
      </c>
      <c r="G48" s="13">
        <v>50</v>
      </c>
      <c r="H48" s="13">
        <f t="shared" si="1"/>
        <v>55</v>
      </c>
      <c r="I48" s="13">
        <f t="shared" si="2"/>
        <v>75</v>
      </c>
      <c r="J48" s="13">
        <f t="shared" si="3"/>
        <v>75</v>
      </c>
      <c r="K48" s="13">
        <f t="shared" si="4"/>
        <v>83.18</v>
      </c>
      <c r="L48" s="13">
        <f t="shared" si="5"/>
        <v>69.29</v>
      </c>
    </row>
    <row r="49" spans="1:12">
      <c r="A49" s="13">
        <v>42</v>
      </c>
      <c r="B49" s="13">
        <v>40</v>
      </c>
      <c r="C49" s="13">
        <v>9</v>
      </c>
      <c r="D49" s="13">
        <v>27</v>
      </c>
      <c r="E49" s="49">
        <v>76</v>
      </c>
      <c r="F49" s="13" t="s">
        <v>85</v>
      </c>
      <c r="G49" s="13">
        <v>46</v>
      </c>
      <c r="H49" s="13">
        <f t="shared" si="1"/>
        <v>50.8</v>
      </c>
      <c r="I49" s="13">
        <f t="shared" si="2"/>
        <v>66</v>
      </c>
      <c r="J49" s="13">
        <f t="shared" si="3"/>
        <v>66</v>
      </c>
      <c r="K49" s="13">
        <f t="shared" si="4"/>
        <v>79.55</v>
      </c>
      <c r="L49" s="13">
        <f t="shared" si="5"/>
        <v>55.21</v>
      </c>
    </row>
    <row r="50" spans="1:12">
      <c r="A50" s="13">
        <v>43</v>
      </c>
      <c r="B50" s="13">
        <v>40</v>
      </c>
      <c r="C50" s="13">
        <v>10</v>
      </c>
      <c r="D50" s="13">
        <v>36</v>
      </c>
      <c r="E50" s="49">
        <v>86</v>
      </c>
      <c r="F50" s="13" t="s">
        <v>85</v>
      </c>
      <c r="G50" s="13">
        <v>68</v>
      </c>
      <c r="H50" s="13">
        <f t="shared" si="1"/>
        <v>68.4</v>
      </c>
      <c r="I50" s="13">
        <f t="shared" si="2"/>
        <v>79</v>
      </c>
      <c r="J50" s="13">
        <f t="shared" si="3"/>
        <v>79</v>
      </c>
      <c r="K50" s="13">
        <f t="shared" si="4"/>
        <v>80.91</v>
      </c>
      <c r="L50" s="13">
        <f t="shared" si="5"/>
        <v>77.43</v>
      </c>
    </row>
    <row r="51" spans="1:12">
      <c r="A51" s="13">
        <v>44</v>
      </c>
      <c r="B51" s="13">
        <v>40</v>
      </c>
      <c r="C51" s="13">
        <v>10</v>
      </c>
      <c r="D51" s="13">
        <v>38</v>
      </c>
      <c r="E51" s="49">
        <v>88</v>
      </c>
      <c r="F51" s="13" t="s">
        <v>75</v>
      </c>
      <c r="G51" s="13">
        <v>50</v>
      </c>
      <c r="H51" s="13">
        <f t="shared" si="1"/>
        <v>52</v>
      </c>
      <c r="I51" s="13">
        <f t="shared" si="2"/>
        <v>74</v>
      </c>
      <c r="J51" s="13">
        <f t="shared" si="3"/>
        <v>74</v>
      </c>
      <c r="K51" s="13">
        <f t="shared" si="4"/>
        <v>79.09</v>
      </c>
      <c r="L51" s="13">
        <f t="shared" si="5"/>
        <v>69.29</v>
      </c>
    </row>
    <row r="52" spans="1:12">
      <c r="A52" s="13">
        <v>45</v>
      </c>
      <c r="B52" s="13">
        <v>40</v>
      </c>
      <c r="C52" s="13">
        <v>9</v>
      </c>
      <c r="D52" s="13">
        <v>38</v>
      </c>
      <c r="E52" s="49">
        <v>87</v>
      </c>
      <c r="F52" s="13" t="s">
        <v>85</v>
      </c>
      <c r="G52" s="13">
        <v>52</v>
      </c>
      <c r="H52" s="13">
        <f t="shared" si="1"/>
        <v>55.6</v>
      </c>
      <c r="I52" s="13">
        <f t="shared" si="2"/>
        <v>74</v>
      </c>
      <c r="J52" s="13">
        <f t="shared" si="3"/>
        <v>74</v>
      </c>
      <c r="K52" s="13">
        <f t="shared" si="4"/>
        <v>79.55</v>
      </c>
      <c r="L52" s="13">
        <f t="shared" si="5"/>
        <v>70.43</v>
      </c>
    </row>
    <row r="53" spans="1:12">
      <c r="A53" s="13">
        <v>46</v>
      </c>
      <c r="B53" s="13">
        <v>48</v>
      </c>
      <c r="C53" s="13">
        <v>10</v>
      </c>
      <c r="D53" s="13">
        <v>38</v>
      </c>
      <c r="E53" s="49">
        <v>96</v>
      </c>
      <c r="F53" s="13" t="s">
        <v>75</v>
      </c>
      <c r="G53" s="13">
        <v>86</v>
      </c>
      <c r="H53" s="13">
        <f t="shared" si="1"/>
        <v>80.8</v>
      </c>
      <c r="I53" s="13">
        <f t="shared" si="2"/>
        <v>90</v>
      </c>
      <c r="J53" s="13">
        <f t="shared" si="3"/>
        <v>90</v>
      </c>
      <c r="K53" s="13">
        <f t="shared" si="4"/>
        <v>90</v>
      </c>
      <c r="L53" s="13">
        <f t="shared" si="5"/>
        <v>89.86</v>
      </c>
    </row>
    <row r="54" spans="1:12">
      <c r="A54" s="13">
        <v>47</v>
      </c>
      <c r="B54" s="13">
        <v>30</v>
      </c>
      <c r="C54" s="13">
        <v>10</v>
      </c>
      <c r="D54" s="13">
        <v>38</v>
      </c>
      <c r="E54" s="49">
        <v>78</v>
      </c>
      <c r="F54" s="13" t="s">
        <v>117</v>
      </c>
      <c r="G54" s="13">
        <v>58</v>
      </c>
      <c r="H54" s="13">
        <f t="shared" si="1"/>
        <v>46.4</v>
      </c>
      <c r="I54" s="13">
        <f t="shared" si="2"/>
        <v>65</v>
      </c>
      <c r="J54" s="13">
        <f t="shared" si="3"/>
        <v>65</v>
      </c>
      <c r="K54" s="13">
        <f t="shared" si="4"/>
        <v>54.55</v>
      </c>
      <c r="L54" s="13">
        <f t="shared" si="5"/>
        <v>73.86</v>
      </c>
    </row>
    <row r="55" spans="1:12">
      <c r="A55" s="13">
        <v>48</v>
      </c>
      <c r="B55" s="13">
        <v>42</v>
      </c>
      <c r="C55" s="13">
        <v>10</v>
      </c>
      <c r="D55" s="13">
        <v>39</v>
      </c>
      <c r="E55" s="49">
        <v>91</v>
      </c>
      <c r="F55" s="13" t="s">
        <v>90</v>
      </c>
      <c r="G55" s="13">
        <v>52</v>
      </c>
      <c r="H55" s="13">
        <f t="shared" si="1"/>
        <v>56.6</v>
      </c>
      <c r="I55" s="13">
        <f t="shared" si="2"/>
        <v>77</v>
      </c>
      <c r="J55" s="13">
        <f t="shared" si="3"/>
        <v>77</v>
      </c>
      <c r="K55" s="13">
        <f t="shared" si="4"/>
        <v>84.55</v>
      </c>
      <c r="L55" s="13">
        <f t="shared" si="5"/>
        <v>71.5</v>
      </c>
    </row>
    <row r="56" spans="1:12">
      <c r="A56" s="13">
        <v>49</v>
      </c>
      <c r="B56" s="13">
        <v>45</v>
      </c>
      <c r="C56" s="13">
        <v>10</v>
      </c>
      <c r="D56" s="13">
        <v>38</v>
      </c>
      <c r="E56" s="49">
        <v>93</v>
      </c>
      <c r="F56" s="13" t="s">
        <v>85</v>
      </c>
      <c r="G56" s="13">
        <v>52</v>
      </c>
      <c r="H56" s="13">
        <f t="shared" si="1"/>
        <v>55.6</v>
      </c>
      <c r="I56" s="13">
        <f t="shared" si="2"/>
        <v>78</v>
      </c>
      <c r="J56" s="13">
        <f t="shared" si="3"/>
        <v>78</v>
      </c>
      <c r="K56" s="13">
        <f t="shared" si="4"/>
        <v>87.73</v>
      </c>
      <c r="L56" s="13">
        <f t="shared" si="5"/>
        <v>70.43</v>
      </c>
    </row>
    <row r="57" spans="1:12">
      <c r="A57" s="13">
        <v>50</v>
      </c>
      <c r="B57" s="13">
        <v>40</v>
      </c>
      <c r="C57" s="13">
        <v>8</v>
      </c>
      <c r="D57" s="13">
        <v>38</v>
      </c>
      <c r="E57" s="49">
        <v>86</v>
      </c>
      <c r="F57" s="13" t="s">
        <v>90</v>
      </c>
      <c r="G57" s="13">
        <v>54</v>
      </c>
      <c r="H57" s="13">
        <f t="shared" si="1"/>
        <v>58.2</v>
      </c>
      <c r="I57" s="13">
        <f t="shared" si="2"/>
        <v>75</v>
      </c>
      <c r="J57" s="13">
        <f t="shared" si="3"/>
        <v>75</v>
      </c>
      <c r="K57" s="13">
        <f t="shared" si="4"/>
        <v>79.09</v>
      </c>
      <c r="L57" s="13">
        <f t="shared" si="5"/>
        <v>71.57</v>
      </c>
    </row>
    <row r="58" spans="1:12">
      <c r="A58" s="13">
        <v>51</v>
      </c>
      <c r="B58" s="13">
        <v>41</v>
      </c>
      <c r="C58" s="13">
        <v>10</v>
      </c>
      <c r="D58" s="13">
        <v>39</v>
      </c>
      <c r="E58" s="49">
        <v>90</v>
      </c>
      <c r="F58" s="13" t="s">
        <v>85</v>
      </c>
      <c r="G58" s="13">
        <v>46</v>
      </c>
      <c r="H58" s="13">
        <f t="shared" si="1"/>
        <v>50.8</v>
      </c>
      <c r="I58" s="13">
        <f t="shared" si="2"/>
        <v>74</v>
      </c>
      <c r="J58" s="13">
        <f t="shared" si="3"/>
        <v>74</v>
      </c>
      <c r="K58" s="13">
        <f t="shared" si="4"/>
        <v>82.27</v>
      </c>
      <c r="L58" s="13">
        <f t="shared" si="5"/>
        <v>68.07</v>
      </c>
    </row>
    <row r="59" spans="1:12">
      <c r="A59" s="13">
        <v>52</v>
      </c>
      <c r="B59" s="13">
        <v>48</v>
      </c>
      <c r="C59" s="13">
        <v>10</v>
      </c>
      <c r="D59" s="13">
        <v>39</v>
      </c>
      <c r="E59" s="49">
        <v>97</v>
      </c>
      <c r="F59" s="13" t="s">
        <v>85</v>
      </c>
      <c r="G59" s="13">
        <v>64</v>
      </c>
      <c r="H59" s="13">
        <f t="shared" si="1"/>
        <v>65.2</v>
      </c>
      <c r="I59" s="13">
        <f t="shared" si="2"/>
        <v>84</v>
      </c>
      <c r="J59" s="13">
        <f t="shared" si="3"/>
        <v>84</v>
      </c>
      <c r="K59" s="13">
        <f t="shared" si="4"/>
        <v>91.82</v>
      </c>
      <c r="L59" s="13">
        <f t="shared" si="5"/>
        <v>78.36</v>
      </c>
    </row>
    <row r="60" spans="1:12">
      <c r="A60" s="13">
        <v>53</v>
      </c>
      <c r="B60" s="13">
        <v>44</v>
      </c>
      <c r="C60" s="13">
        <v>10</v>
      </c>
      <c r="D60" s="13">
        <v>40</v>
      </c>
      <c r="E60" s="49">
        <v>94</v>
      </c>
      <c r="F60" s="13" t="s">
        <v>90</v>
      </c>
      <c r="G60" s="13">
        <v>78</v>
      </c>
      <c r="H60" s="13">
        <f t="shared" si="1"/>
        <v>77.4</v>
      </c>
      <c r="I60" s="13">
        <f t="shared" si="2"/>
        <v>87</v>
      </c>
      <c r="J60" s="13">
        <f t="shared" si="3"/>
        <v>87</v>
      </c>
      <c r="K60" s="13">
        <f t="shared" si="4"/>
        <v>87.27</v>
      </c>
      <c r="L60" s="13">
        <f t="shared" si="5"/>
        <v>87.43</v>
      </c>
    </row>
    <row r="61" spans="1:12">
      <c r="A61" s="13">
        <v>54</v>
      </c>
      <c r="B61" s="13">
        <v>40</v>
      </c>
      <c r="C61" s="13">
        <v>10</v>
      </c>
      <c r="D61" s="13">
        <v>38</v>
      </c>
      <c r="E61" s="49">
        <v>88</v>
      </c>
      <c r="F61" s="13" t="s">
        <v>90</v>
      </c>
      <c r="G61" s="13">
        <v>50</v>
      </c>
      <c r="H61" s="13">
        <f t="shared" si="1"/>
        <v>55</v>
      </c>
      <c r="I61" s="13">
        <f t="shared" si="2"/>
        <v>75</v>
      </c>
      <c r="J61" s="13">
        <f t="shared" si="3"/>
        <v>75</v>
      </c>
      <c r="K61" s="13">
        <f t="shared" si="4"/>
        <v>81.82</v>
      </c>
      <c r="L61" s="13">
        <f t="shared" si="5"/>
        <v>69.29</v>
      </c>
    </row>
    <row r="62" spans="1:12">
      <c r="A62" s="13">
        <v>55</v>
      </c>
      <c r="B62" s="13">
        <v>41</v>
      </c>
      <c r="C62" s="13">
        <v>10</v>
      </c>
      <c r="D62" s="13">
        <v>40</v>
      </c>
      <c r="E62" s="49">
        <v>91</v>
      </c>
      <c r="F62" s="13" t="s">
        <v>90</v>
      </c>
      <c r="G62" s="13">
        <v>44</v>
      </c>
      <c r="H62" s="13">
        <f t="shared" si="1"/>
        <v>50.2</v>
      </c>
      <c r="I62" s="13">
        <f t="shared" si="2"/>
        <v>75</v>
      </c>
      <c r="J62" s="13">
        <f t="shared" si="3"/>
        <v>75</v>
      </c>
      <c r="K62" s="13">
        <f t="shared" si="4"/>
        <v>83.18</v>
      </c>
      <c r="L62" s="13">
        <f t="shared" si="5"/>
        <v>68</v>
      </c>
    </row>
    <row r="63" spans="1:12">
      <c r="A63" s="13">
        <v>56</v>
      </c>
      <c r="B63" s="13">
        <v>42</v>
      </c>
      <c r="C63" s="13">
        <v>9</v>
      </c>
      <c r="D63" s="13">
        <v>36</v>
      </c>
      <c r="E63" s="49">
        <v>87</v>
      </c>
      <c r="F63" s="13" t="s">
        <v>85</v>
      </c>
      <c r="G63" s="13">
        <v>48</v>
      </c>
      <c r="H63" s="13">
        <f t="shared" si="1"/>
        <v>52.4</v>
      </c>
      <c r="I63" s="13">
        <f t="shared" si="2"/>
        <v>73</v>
      </c>
      <c r="J63" s="13">
        <f t="shared" si="3"/>
        <v>73</v>
      </c>
      <c r="K63" s="13">
        <f t="shared" si="4"/>
        <v>82.27</v>
      </c>
      <c r="L63" s="13">
        <f t="shared" si="5"/>
        <v>66</v>
      </c>
    </row>
    <row r="64" spans="1:12">
      <c r="A64" s="13">
        <v>57</v>
      </c>
      <c r="B64" s="13">
        <v>40</v>
      </c>
      <c r="C64" s="13">
        <v>10</v>
      </c>
      <c r="D64" s="13">
        <v>38</v>
      </c>
      <c r="E64" s="49">
        <v>88</v>
      </c>
      <c r="F64" s="13" t="s">
        <v>90</v>
      </c>
      <c r="G64" s="13">
        <v>44</v>
      </c>
      <c r="H64" s="13">
        <f t="shared" si="1"/>
        <v>50.2</v>
      </c>
      <c r="I64" s="13">
        <f t="shared" si="2"/>
        <v>73</v>
      </c>
      <c r="J64" s="13">
        <f t="shared" si="3"/>
        <v>73</v>
      </c>
      <c r="K64" s="13">
        <f t="shared" si="4"/>
        <v>81.82</v>
      </c>
      <c r="L64" s="13">
        <f t="shared" si="5"/>
        <v>65.86</v>
      </c>
    </row>
    <row r="65" spans="1:12">
      <c r="A65" s="13">
        <v>58</v>
      </c>
      <c r="B65" s="13">
        <v>48</v>
      </c>
      <c r="C65" s="13">
        <v>10</v>
      </c>
      <c r="D65" s="13">
        <v>36</v>
      </c>
      <c r="E65" s="49">
        <v>94</v>
      </c>
      <c r="F65" s="13" t="s">
        <v>90</v>
      </c>
      <c r="G65" s="13">
        <v>46</v>
      </c>
      <c r="H65" s="13">
        <f t="shared" si="1"/>
        <v>51.8</v>
      </c>
      <c r="I65" s="13">
        <f t="shared" si="2"/>
        <v>77</v>
      </c>
      <c r="J65" s="13">
        <f t="shared" si="3"/>
        <v>77</v>
      </c>
      <c r="K65" s="13">
        <f t="shared" si="4"/>
        <v>92.73</v>
      </c>
      <c r="L65" s="13">
        <f t="shared" si="5"/>
        <v>64.86</v>
      </c>
    </row>
    <row r="66" spans="1:12">
      <c r="A66" s="13">
        <v>59</v>
      </c>
      <c r="B66" s="52">
        <v>46</v>
      </c>
      <c r="C66" s="52">
        <v>9</v>
      </c>
      <c r="D66" s="52">
        <v>34</v>
      </c>
      <c r="E66" s="52">
        <v>89</v>
      </c>
      <c r="F66" s="53" t="s">
        <v>90</v>
      </c>
      <c r="G66" s="52">
        <v>56</v>
      </c>
      <c r="H66" s="13">
        <f t="shared" si="1"/>
        <v>59.8</v>
      </c>
      <c r="I66" s="13">
        <f t="shared" si="2"/>
        <v>77</v>
      </c>
      <c r="J66" s="13">
        <f t="shared" si="3"/>
        <v>77</v>
      </c>
      <c r="K66" s="13">
        <f t="shared" si="4"/>
        <v>88.64</v>
      </c>
      <c r="L66" s="13">
        <f t="shared" si="5"/>
        <v>68.43</v>
      </c>
    </row>
    <row r="67" spans="1:12">
      <c r="A67" s="13">
        <v>60</v>
      </c>
      <c r="B67" s="52">
        <v>40</v>
      </c>
      <c r="C67" s="52">
        <v>9</v>
      </c>
      <c r="D67" s="52">
        <v>38</v>
      </c>
      <c r="E67" s="52">
        <v>87</v>
      </c>
      <c r="F67" s="53" t="s">
        <v>85</v>
      </c>
      <c r="G67" s="52">
        <v>36</v>
      </c>
      <c r="H67" s="13">
        <f t="shared" si="1"/>
        <v>42.8</v>
      </c>
      <c r="I67" s="13">
        <f t="shared" si="2"/>
        <v>69</v>
      </c>
      <c r="J67" s="13">
        <f t="shared" si="3"/>
        <v>69</v>
      </c>
      <c r="K67" s="13">
        <f t="shared" si="4"/>
        <v>79.55</v>
      </c>
      <c r="L67" s="13">
        <f t="shared" si="5"/>
        <v>61.29</v>
      </c>
    </row>
    <row r="68" spans="1:12">
      <c r="A68" s="13">
        <v>61</v>
      </c>
      <c r="B68" s="52">
        <v>42</v>
      </c>
      <c r="C68" s="52">
        <v>9</v>
      </c>
      <c r="D68" s="52">
        <v>35</v>
      </c>
      <c r="E68" s="52">
        <v>86</v>
      </c>
      <c r="F68" s="53" t="s">
        <v>75</v>
      </c>
      <c r="G68" s="52">
        <v>52</v>
      </c>
      <c r="H68" s="13">
        <f t="shared" ref="H68:H88" si="6">F68*0.2+G68*0.8</f>
        <v>53.6</v>
      </c>
      <c r="I68" s="13">
        <f t="shared" ref="I68:I88" si="7">ROUND(E68*0.6+H68*0.4,0)</f>
        <v>73</v>
      </c>
      <c r="J68" s="13">
        <f t="shared" ref="J68:J88" si="8">ROUND(K68*0.44+L68*0.56,0)</f>
        <v>73</v>
      </c>
      <c r="K68" s="13">
        <f t="shared" ref="K68:K88" si="9">ROUND(B68/50*100*30/44+C68/10*100*6/44+F68*8/44,2)</f>
        <v>80.45</v>
      </c>
      <c r="L68" s="13">
        <f t="shared" ref="L68:L88" si="10">ROUND(D68/40*100*24/56+G68*32/56,2)</f>
        <v>67.21</v>
      </c>
    </row>
    <row r="69" spans="1:12">
      <c r="A69" s="13">
        <v>62</v>
      </c>
      <c r="B69" s="52">
        <v>30</v>
      </c>
      <c r="C69" s="52">
        <v>6</v>
      </c>
      <c r="D69" s="52">
        <v>24</v>
      </c>
      <c r="E69" s="52">
        <v>60</v>
      </c>
      <c r="F69" s="52">
        <v>0</v>
      </c>
      <c r="G69" s="52">
        <v>50</v>
      </c>
      <c r="H69" s="13">
        <f t="shared" si="6"/>
        <v>40</v>
      </c>
      <c r="I69" s="13">
        <f t="shared" si="7"/>
        <v>52</v>
      </c>
      <c r="J69" s="13">
        <f t="shared" si="8"/>
        <v>52</v>
      </c>
      <c r="K69" s="13">
        <f t="shared" si="9"/>
        <v>49.09</v>
      </c>
      <c r="L69" s="13">
        <f t="shared" si="10"/>
        <v>54.29</v>
      </c>
    </row>
    <row r="70" spans="1:12">
      <c r="A70" s="13">
        <v>63</v>
      </c>
      <c r="B70" s="52">
        <v>43</v>
      </c>
      <c r="C70" s="52">
        <v>9</v>
      </c>
      <c r="D70" s="52">
        <v>39</v>
      </c>
      <c r="E70" s="52">
        <v>91</v>
      </c>
      <c r="F70" s="53" t="s">
        <v>90</v>
      </c>
      <c r="G70" s="52">
        <v>44</v>
      </c>
      <c r="H70" s="13">
        <f t="shared" si="6"/>
        <v>50.2</v>
      </c>
      <c r="I70" s="13">
        <f t="shared" si="7"/>
        <v>75</v>
      </c>
      <c r="J70" s="13">
        <f t="shared" si="8"/>
        <v>75</v>
      </c>
      <c r="K70" s="13">
        <f t="shared" si="9"/>
        <v>84.55</v>
      </c>
      <c r="L70" s="13">
        <f t="shared" si="10"/>
        <v>66.93</v>
      </c>
    </row>
    <row r="71" spans="1:12">
      <c r="A71" s="13">
        <v>64</v>
      </c>
      <c r="B71" s="52">
        <v>44</v>
      </c>
      <c r="C71" s="52">
        <v>9</v>
      </c>
      <c r="D71" s="52">
        <v>38</v>
      </c>
      <c r="E71" s="52">
        <v>91</v>
      </c>
      <c r="F71" s="53" t="s">
        <v>85</v>
      </c>
      <c r="G71" s="52">
        <v>50</v>
      </c>
      <c r="H71" s="13">
        <f t="shared" si="6"/>
        <v>54</v>
      </c>
      <c r="I71" s="13">
        <f t="shared" si="7"/>
        <v>76</v>
      </c>
      <c r="J71" s="13">
        <f t="shared" si="8"/>
        <v>76</v>
      </c>
      <c r="K71" s="13">
        <f t="shared" si="9"/>
        <v>85</v>
      </c>
      <c r="L71" s="13">
        <f t="shared" si="10"/>
        <v>69.29</v>
      </c>
    </row>
    <row r="72" spans="1:12">
      <c r="A72" s="13">
        <v>65</v>
      </c>
      <c r="B72" s="52">
        <v>33</v>
      </c>
      <c r="C72" s="52">
        <v>9</v>
      </c>
      <c r="D72" s="52">
        <v>38</v>
      </c>
      <c r="E72" s="52">
        <v>80</v>
      </c>
      <c r="F72" s="53" t="s">
        <v>90</v>
      </c>
      <c r="G72" s="52">
        <v>64</v>
      </c>
      <c r="H72" s="13">
        <f t="shared" si="6"/>
        <v>66.2</v>
      </c>
      <c r="I72" s="13">
        <f t="shared" si="7"/>
        <v>74</v>
      </c>
      <c r="J72" s="13">
        <f t="shared" si="8"/>
        <v>74</v>
      </c>
      <c r="K72" s="13">
        <f t="shared" si="9"/>
        <v>70.91</v>
      </c>
      <c r="L72" s="13">
        <f t="shared" si="10"/>
        <v>77.29</v>
      </c>
    </row>
    <row r="73" spans="1:12">
      <c r="A73" s="13">
        <v>66</v>
      </c>
      <c r="B73" s="52">
        <v>46</v>
      </c>
      <c r="C73" s="52">
        <v>10</v>
      </c>
      <c r="D73" s="52">
        <v>39</v>
      </c>
      <c r="E73" s="52">
        <v>95</v>
      </c>
      <c r="F73" s="53" t="s">
        <v>90</v>
      </c>
      <c r="G73" s="52">
        <v>44</v>
      </c>
      <c r="H73" s="13">
        <f t="shared" si="6"/>
        <v>50.2</v>
      </c>
      <c r="I73" s="13">
        <f t="shared" si="7"/>
        <v>77</v>
      </c>
      <c r="J73" s="13">
        <f t="shared" si="8"/>
        <v>77</v>
      </c>
      <c r="K73" s="13">
        <f t="shared" si="9"/>
        <v>90</v>
      </c>
      <c r="L73" s="13">
        <f t="shared" si="10"/>
        <v>66.93</v>
      </c>
    </row>
    <row r="74" spans="1:12">
      <c r="A74" s="13">
        <v>67</v>
      </c>
      <c r="B74" s="52">
        <v>46</v>
      </c>
      <c r="C74" s="52">
        <v>10</v>
      </c>
      <c r="D74" s="52">
        <v>38</v>
      </c>
      <c r="E74" s="52">
        <v>94</v>
      </c>
      <c r="F74" s="53" t="s">
        <v>90</v>
      </c>
      <c r="G74" s="52">
        <v>32</v>
      </c>
      <c r="H74" s="13">
        <f t="shared" si="6"/>
        <v>40.6</v>
      </c>
      <c r="I74" s="13">
        <f t="shared" si="7"/>
        <v>73</v>
      </c>
      <c r="J74" s="13">
        <f t="shared" si="8"/>
        <v>73</v>
      </c>
      <c r="K74" s="13">
        <f t="shared" si="9"/>
        <v>90</v>
      </c>
      <c r="L74" s="13">
        <f t="shared" si="10"/>
        <v>59</v>
      </c>
    </row>
    <row r="75" spans="1:12">
      <c r="A75" s="13">
        <v>68</v>
      </c>
      <c r="B75" s="52">
        <v>45</v>
      </c>
      <c r="C75" s="52">
        <v>9</v>
      </c>
      <c r="D75" s="52">
        <v>40</v>
      </c>
      <c r="E75" s="52">
        <v>94</v>
      </c>
      <c r="F75" s="53" t="s">
        <v>90</v>
      </c>
      <c r="G75" s="52">
        <v>52</v>
      </c>
      <c r="H75" s="13">
        <f t="shared" si="6"/>
        <v>56.6</v>
      </c>
      <c r="I75" s="13">
        <f t="shared" si="7"/>
        <v>79</v>
      </c>
      <c r="J75" s="13">
        <f t="shared" si="8"/>
        <v>79</v>
      </c>
      <c r="K75" s="13">
        <f t="shared" si="9"/>
        <v>87.27</v>
      </c>
      <c r="L75" s="13">
        <f t="shared" si="10"/>
        <v>72.57</v>
      </c>
    </row>
    <row r="76" spans="1:12">
      <c r="A76" s="13">
        <v>69</v>
      </c>
      <c r="B76" s="52">
        <v>42</v>
      </c>
      <c r="C76" s="52">
        <v>9</v>
      </c>
      <c r="D76" s="52">
        <v>35</v>
      </c>
      <c r="E76" s="52">
        <v>86</v>
      </c>
      <c r="F76" s="53" t="s">
        <v>75</v>
      </c>
      <c r="G76" s="52">
        <v>54</v>
      </c>
      <c r="H76" s="13">
        <f t="shared" si="6"/>
        <v>55.2</v>
      </c>
      <c r="I76" s="13">
        <f t="shared" si="7"/>
        <v>74</v>
      </c>
      <c r="J76" s="13">
        <f t="shared" si="8"/>
        <v>74</v>
      </c>
      <c r="K76" s="13">
        <f t="shared" si="9"/>
        <v>80.45</v>
      </c>
      <c r="L76" s="13">
        <f t="shared" si="10"/>
        <v>68.36</v>
      </c>
    </row>
    <row r="77" spans="1:12">
      <c r="A77" s="13">
        <v>70</v>
      </c>
      <c r="B77" s="52">
        <v>44</v>
      </c>
      <c r="C77" s="52">
        <v>9</v>
      </c>
      <c r="D77" s="52">
        <v>36</v>
      </c>
      <c r="E77" s="52">
        <v>89</v>
      </c>
      <c r="F77" s="53" t="s">
        <v>85</v>
      </c>
      <c r="G77" s="52">
        <v>56</v>
      </c>
      <c r="H77" s="13">
        <f t="shared" si="6"/>
        <v>58.8</v>
      </c>
      <c r="I77" s="13">
        <f t="shared" si="7"/>
        <v>77</v>
      </c>
      <c r="J77" s="13">
        <f t="shared" si="8"/>
        <v>77</v>
      </c>
      <c r="K77" s="13">
        <f t="shared" si="9"/>
        <v>85</v>
      </c>
      <c r="L77" s="13">
        <f t="shared" si="10"/>
        <v>70.57</v>
      </c>
    </row>
    <row r="78" spans="1:12">
      <c r="A78" s="13">
        <v>71</v>
      </c>
      <c r="B78" s="52">
        <v>40</v>
      </c>
      <c r="C78" s="52">
        <v>10</v>
      </c>
      <c r="D78" s="52">
        <v>36</v>
      </c>
      <c r="E78" s="52">
        <v>86</v>
      </c>
      <c r="F78" s="53" t="s">
        <v>90</v>
      </c>
      <c r="G78" s="52">
        <v>48</v>
      </c>
      <c r="H78" s="13">
        <f t="shared" si="6"/>
        <v>53.4</v>
      </c>
      <c r="I78" s="13">
        <f t="shared" si="7"/>
        <v>73</v>
      </c>
      <c r="J78" s="13">
        <f t="shared" si="8"/>
        <v>73</v>
      </c>
      <c r="K78" s="13">
        <f t="shared" si="9"/>
        <v>81.82</v>
      </c>
      <c r="L78" s="13">
        <f t="shared" si="10"/>
        <v>66</v>
      </c>
    </row>
    <row r="79" spans="1:12">
      <c r="A79" s="13">
        <v>72</v>
      </c>
      <c r="B79" s="52">
        <v>46</v>
      </c>
      <c r="C79" s="52">
        <v>10</v>
      </c>
      <c r="D79" s="52">
        <v>36</v>
      </c>
      <c r="E79" s="52">
        <v>92</v>
      </c>
      <c r="F79" s="53" t="s">
        <v>85</v>
      </c>
      <c r="G79" s="52">
        <v>40</v>
      </c>
      <c r="H79" s="13">
        <f t="shared" si="6"/>
        <v>46</v>
      </c>
      <c r="I79" s="13">
        <f t="shared" si="7"/>
        <v>74</v>
      </c>
      <c r="J79" s="13">
        <f t="shared" si="8"/>
        <v>74</v>
      </c>
      <c r="K79" s="13">
        <f t="shared" si="9"/>
        <v>89.09</v>
      </c>
      <c r="L79" s="13">
        <f t="shared" si="10"/>
        <v>61.43</v>
      </c>
    </row>
    <row r="80" spans="1:12">
      <c r="A80" s="13">
        <v>73</v>
      </c>
      <c r="B80" s="52">
        <v>43</v>
      </c>
      <c r="C80" s="52">
        <v>10</v>
      </c>
      <c r="D80" s="52">
        <v>37</v>
      </c>
      <c r="E80" s="52">
        <v>90</v>
      </c>
      <c r="F80" s="53" t="s">
        <v>85</v>
      </c>
      <c r="G80" s="52">
        <v>32</v>
      </c>
      <c r="H80" s="13">
        <f t="shared" si="6"/>
        <v>39.6</v>
      </c>
      <c r="I80" s="13">
        <f t="shared" si="7"/>
        <v>70</v>
      </c>
      <c r="J80" s="13">
        <f t="shared" si="8"/>
        <v>70</v>
      </c>
      <c r="K80" s="13">
        <f t="shared" si="9"/>
        <v>85</v>
      </c>
      <c r="L80" s="13">
        <f t="shared" si="10"/>
        <v>57.93</v>
      </c>
    </row>
    <row r="81" spans="1:12">
      <c r="A81" s="13">
        <v>74</v>
      </c>
      <c r="B81" s="52">
        <v>45</v>
      </c>
      <c r="C81" s="52">
        <v>10</v>
      </c>
      <c r="D81" s="52">
        <v>38</v>
      </c>
      <c r="E81" s="52">
        <v>93</v>
      </c>
      <c r="F81" s="53" t="s">
        <v>85</v>
      </c>
      <c r="G81" s="52">
        <v>42</v>
      </c>
      <c r="H81" s="13">
        <f t="shared" si="6"/>
        <v>47.6</v>
      </c>
      <c r="I81" s="13">
        <f t="shared" si="7"/>
        <v>75</v>
      </c>
      <c r="J81" s="13">
        <f t="shared" si="8"/>
        <v>75</v>
      </c>
      <c r="K81" s="13">
        <f t="shared" si="9"/>
        <v>87.73</v>
      </c>
      <c r="L81" s="13">
        <f t="shared" si="10"/>
        <v>64.71</v>
      </c>
    </row>
    <row r="82" spans="1:12">
      <c r="A82" s="13">
        <v>75</v>
      </c>
      <c r="B82" s="52">
        <v>42</v>
      </c>
      <c r="C82" s="52">
        <v>9</v>
      </c>
      <c r="D82" s="52">
        <v>38</v>
      </c>
      <c r="E82" s="52">
        <v>89</v>
      </c>
      <c r="F82" s="53" t="s">
        <v>90</v>
      </c>
      <c r="G82" s="52">
        <v>44</v>
      </c>
      <c r="H82" s="13">
        <f t="shared" si="6"/>
        <v>50.2</v>
      </c>
      <c r="I82" s="13">
        <f t="shared" si="7"/>
        <v>73</v>
      </c>
      <c r="J82" s="13">
        <f t="shared" si="8"/>
        <v>73</v>
      </c>
      <c r="K82" s="13">
        <f t="shared" si="9"/>
        <v>83.18</v>
      </c>
      <c r="L82" s="13">
        <f t="shared" si="10"/>
        <v>65.86</v>
      </c>
    </row>
    <row r="83" spans="1:12">
      <c r="A83" s="13">
        <v>76</v>
      </c>
      <c r="B83" s="52">
        <v>39</v>
      </c>
      <c r="C83" s="52">
        <v>7</v>
      </c>
      <c r="D83" s="52">
        <v>38</v>
      </c>
      <c r="E83" s="52">
        <v>84</v>
      </c>
      <c r="F83" s="53" t="s">
        <v>75</v>
      </c>
      <c r="G83" s="52">
        <v>44</v>
      </c>
      <c r="H83" s="13">
        <f t="shared" si="6"/>
        <v>47.2</v>
      </c>
      <c r="I83" s="13">
        <f t="shared" si="7"/>
        <v>69</v>
      </c>
      <c r="J83" s="13">
        <f t="shared" si="8"/>
        <v>69</v>
      </c>
      <c r="K83" s="13">
        <f t="shared" si="9"/>
        <v>73.64</v>
      </c>
      <c r="L83" s="13">
        <f t="shared" si="10"/>
        <v>65.86</v>
      </c>
    </row>
    <row r="84" spans="1:12">
      <c r="A84" s="13">
        <v>77</v>
      </c>
      <c r="B84" s="52">
        <v>42</v>
      </c>
      <c r="C84" s="52">
        <v>9</v>
      </c>
      <c r="D84" s="52">
        <v>37</v>
      </c>
      <c r="E84" s="52">
        <v>88</v>
      </c>
      <c r="F84" s="53" t="s">
        <v>90</v>
      </c>
      <c r="G84" s="52">
        <v>54</v>
      </c>
      <c r="H84" s="13">
        <f t="shared" si="6"/>
        <v>58.2</v>
      </c>
      <c r="I84" s="13">
        <f t="shared" si="7"/>
        <v>76</v>
      </c>
      <c r="J84" s="13">
        <f t="shared" si="8"/>
        <v>76</v>
      </c>
      <c r="K84" s="13">
        <f t="shared" si="9"/>
        <v>83.18</v>
      </c>
      <c r="L84" s="13">
        <f t="shared" si="10"/>
        <v>70.5</v>
      </c>
    </row>
    <row r="85" spans="1:12">
      <c r="A85" s="13">
        <v>78</v>
      </c>
      <c r="B85" s="52">
        <v>37</v>
      </c>
      <c r="C85" s="52">
        <v>9</v>
      </c>
      <c r="D85" s="52">
        <v>39</v>
      </c>
      <c r="E85" s="52">
        <v>85</v>
      </c>
      <c r="F85" s="53" t="s">
        <v>85</v>
      </c>
      <c r="G85" s="52">
        <v>54</v>
      </c>
      <c r="H85" s="13">
        <f t="shared" si="6"/>
        <v>57.2</v>
      </c>
      <c r="I85" s="13">
        <f t="shared" si="7"/>
        <v>74</v>
      </c>
      <c r="J85" s="13">
        <f t="shared" si="8"/>
        <v>74</v>
      </c>
      <c r="K85" s="13">
        <f t="shared" si="9"/>
        <v>75.45</v>
      </c>
      <c r="L85" s="13">
        <f t="shared" si="10"/>
        <v>72.64</v>
      </c>
    </row>
    <row r="86" spans="1:12">
      <c r="A86" s="13">
        <v>79</v>
      </c>
      <c r="B86" s="52">
        <v>40</v>
      </c>
      <c r="C86" s="52">
        <v>9</v>
      </c>
      <c r="D86" s="52">
        <v>38</v>
      </c>
      <c r="E86" s="52">
        <v>87</v>
      </c>
      <c r="F86" s="53" t="s">
        <v>85</v>
      </c>
      <c r="G86" s="52">
        <v>42</v>
      </c>
      <c r="H86" s="13">
        <f t="shared" si="6"/>
        <v>47.6</v>
      </c>
      <c r="I86" s="13">
        <f t="shared" si="7"/>
        <v>71</v>
      </c>
      <c r="J86" s="13">
        <f t="shared" si="8"/>
        <v>71</v>
      </c>
      <c r="K86" s="13">
        <f t="shared" si="9"/>
        <v>79.55</v>
      </c>
      <c r="L86" s="13">
        <f t="shared" si="10"/>
        <v>64.71</v>
      </c>
    </row>
    <row r="87" spans="1:12">
      <c r="A87" s="13">
        <v>80</v>
      </c>
      <c r="B87" s="52">
        <v>48</v>
      </c>
      <c r="C87" s="52">
        <v>10</v>
      </c>
      <c r="D87" s="52">
        <v>40</v>
      </c>
      <c r="E87" s="52">
        <v>98</v>
      </c>
      <c r="F87" s="53" t="s">
        <v>85</v>
      </c>
      <c r="G87" s="52">
        <v>38</v>
      </c>
      <c r="H87" s="13">
        <f t="shared" si="6"/>
        <v>44.4</v>
      </c>
      <c r="I87" s="13">
        <f t="shared" si="7"/>
        <v>77</v>
      </c>
      <c r="J87" s="13">
        <f t="shared" si="8"/>
        <v>77</v>
      </c>
      <c r="K87" s="13">
        <f t="shared" si="9"/>
        <v>91.82</v>
      </c>
      <c r="L87" s="13">
        <f t="shared" si="10"/>
        <v>64.57</v>
      </c>
    </row>
    <row r="88" spans="1:12">
      <c r="A88" s="13">
        <v>81</v>
      </c>
      <c r="B88" s="52">
        <v>30</v>
      </c>
      <c r="C88" s="52">
        <v>6</v>
      </c>
      <c r="D88" s="52">
        <v>24</v>
      </c>
      <c r="E88" s="52">
        <v>60</v>
      </c>
      <c r="F88" s="52">
        <v>75</v>
      </c>
      <c r="G88" s="52">
        <v>46</v>
      </c>
      <c r="H88" s="13">
        <f t="shared" si="6"/>
        <v>51.8</v>
      </c>
      <c r="I88" s="13">
        <f t="shared" si="7"/>
        <v>57</v>
      </c>
      <c r="J88" s="13">
        <f t="shared" si="8"/>
        <v>57</v>
      </c>
      <c r="K88" s="13">
        <f t="shared" si="9"/>
        <v>62.73</v>
      </c>
      <c r="L88" s="13">
        <f t="shared" si="10"/>
        <v>52</v>
      </c>
    </row>
  </sheetData>
  <mergeCells count="4">
    <mergeCell ref="A1:L1"/>
    <mergeCell ref="B2:E2"/>
    <mergeCell ref="F2:H2"/>
    <mergeCell ref="A2:A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P62" sqref="P62"/>
    </sheetView>
  </sheetViews>
  <sheetFormatPr defaultColWidth="9" defaultRowHeight="16.8"/>
  <cols>
    <col min="1" max="1" width="9" style="1"/>
    <col min="2" max="5" width="9" style="1" customWidth="1"/>
    <col min="6" max="6" width="11" style="1" customWidth="1"/>
    <col min="7" max="7" width="11.3303571428571" style="1" customWidth="1"/>
    <col min="8" max="9" width="9" style="1" customWidth="1"/>
    <col min="10" max="12" width="9" style="1"/>
  </cols>
  <sheetData>
    <row r="1" ht="40.25" customHeight="1" spans="1:14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">
      <c r="A2" s="29" t="s">
        <v>0</v>
      </c>
      <c r="B2" s="30" t="s">
        <v>1</v>
      </c>
      <c r="C2" s="31"/>
      <c r="D2" s="31"/>
      <c r="E2" s="32"/>
      <c r="F2" s="30" t="s">
        <v>2</v>
      </c>
      <c r="G2" s="31"/>
      <c r="H2" s="32"/>
      <c r="I2" s="32" t="s">
        <v>3</v>
      </c>
      <c r="J2" s="33" t="s">
        <v>4</v>
      </c>
      <c r="K2" s="33" t="s">
        <v>5</v>
      </c>
      <c r="L2" s="33" t="s">
        <v>6</v>
      </c>
    </row>
    <row r="3" spans="1:14">
      <c r="A3" s="34"/>
      <c r="B3" s="35" t="s">
        <v>7</v>
      </c>
      <c r="C3" s="35" t="s">
        <v>8</v>
      </c>
      <c r="D3" s="35" t="s">
        <v>9</v>
      </c>
      <c r="E3" s="36" t="s">
        <v>10</v>
      </c>
      <c r="F3" s="35" t="s">
        <v>11</v>
      </c>
      <c r="G3" s="35" t="s">
        <v>12</v>
      </c>
      <c r="H3" s="36" t="s">
        <v>13</v>
      </c>
      <c r="I3" s="36"/>
      <c r="J3" s="36" t="s">
        <v>14</v>
      </c>
      <c r="K3" s="37">
        <v>0.44</v>
      </c>
      <c r="L3" s="37">
        <v>0.56</v>
      </c>
    </row>
    <row r="4" spans="1:14">
      <c r="A4" s="38" t="s">
        <v>102</v>
      </c>
      <c r="B4" s="38">
        <v>34</v>
      </c>
      <c r="C4" s="38">
        <v>10</v>
      </c>
      <c r="D4" s="38">
        <v>20</v>
      </c>
      <c r="E4" s="38">
        <f t="shared" ref="E4:E6" si="0">SUM(B4:D4)</f>
        <v>64</v>
      </c>
      <c r="F4" s="38">
        <v>15</v>
      </c>
      <c r="G4" s="38">
        <v>80</v>
      </c>
      <c r="H4" s="38">
        <f t="shared" ref="H4:H59" si="1">F4*0.2+G4*0.8</f>
        <v>67</v>
      </c>
      <c r="I4" s="38">
        <f t="shared" ref="I4:I59" si="2">ROUND(E4*0.6+H4*0.4,0)</f>
        <v>65</v>
      </c>
      <c r="J4" s="38">
        <f t="shared" ref="J4:J59" si="3">ROUND(K4*0.44+L4*0.56,0)</f>
        <v>65</v>
      </c>
      <c r="K4" s="38">
        <f t="shared" ref="K4:K59" si="4">ROUND(B4/50*100*30/44+C4/10*100*6/44+F4*8/44,2)</f>
        <v>62.73</v>
      </c>
      <c r="L4" s="38">
        <f t="shared" ref="L4:L59" si="5">ROUND(D4/40*100*24/56+G4*32/56,2)</f>
        <v>67.14</v>
      </c>
    </row>
    <row r="5" spans="1:14">
      <c r="A5" s="38" t="s">
        <v>103</v>
      </c>
      <c r="B5" s="38">
        <v>50</v>
      </c>
      <c r="C5" s="38">
        <v>10</v>
      </c>
      <c r="D5" s="38">
        <v>40</v>
      </c>
      <c r="E5" s="38">
        <f t="shared" si="0"/>
        <v>100</v>
      </c>
      <c r="F5" s="38">
        <v>100</v>
      </c>
      <c r="G5" s="38">
        <v>100</v>
      </c>
      <c r="H5" s="38">
        <f t="shared" si="1"/>
        <v>100</v>
      </c>
      <c r="I5" s="38">
        <f t="shared" si="2"/>
        <v>100</v>
      </c>
      <c r="J5" s="38">
        <f t="shared" si="3"/>
        <v>100</v>
      </c>
      <c r="K5" s="38">
        <f t="shared" si="4"/>
        <v>100</v>
      </c>
      <c r="L5" s="38">
        <f t="shared" si="5"/>
        <v>100</v>
      </c>
    </row>
    <row r="6" spans="1:14">
      <c r="A6" s="38" t="s">
        <v>104</v>
      </c>
      <c r="B6" s="38">
        <f>50*0.6</f>
        <v>30</v>
      </c>
      <c r="C6" s="38">
        <f>10*0.6</f>
        <v>6</v>
      </c>
      <c r="D6" s="38">
        <f>40*0.6</f>
        <v>24</v>
      </c>
      <c r="E6" s="38">
        <f t="shared" si="0"/>
        <v>60</v>
      </c>
      <c r="F6" s="38">
        <v>70</v>
      </c>
      <c r="G6" s="38">
        <v>31</v>
      </c>
      <c r="H6" s="38">
        <f t="shared" si="1"/>
        <v>38.8</v>
      </c>
      <c r="I6" s="38">
        <f t="shared" si="2"/>
        <v>52</v>
      </c>
      <c r="J6" s="38">
        <f t="shared" si="3"/>
        <v>52</v>
      </c>
      <c r="K6" s="38">
        <f t="shared" si="4"/>
        <v>61.82</v>
      </c>
      <c r="L6" s="38">
        <f t="shared" si="5"/>
        <v>43.43</v>
      </c>
    </row>
    <row r="7" spans="1:14">
      <c r="A7" s="39"/>
      <c r="B7" s="39">
        <v>48</v>
      </c>
      <c r="C7" s="39">
        <v>10</v>
      </c>
      <c r="D7" s="40">
        <v>0</v>
      </c>
      <c r="E7" s="39">
        <v>58</v>
      </c>
      <c r="F7" s="41">
        <v>100</v>
      </c>
      <c r="G7" s="42">
        <v>48</v>
      </c>
      <c r="H7" s="39">
        <f t="shared" si="1"/>
        <v>58.4</v>
      </c>
      <c r="I7" s="39">
        <f t="shared" si="2"/>
        <v>58</v>
      </c>
      <c r="J7" s="39">
        <f t="shared" si="3"/>
        <v>58</v>
      </c>
      <c r="K7" s="39">
        <f t="shared" si="4"/>
        <v>97.27</v>
      </c>
      <c r="L7" s="39">
        <f t="shared" si="5"/>
        <v>27.43</v>
      </c>
    </row>
    <row r="8" spans="1:14">
      <c r="A8" s="43"/>
      <c r="B8" s="43"/>
      <c r="C8" s="43"/>
      <c r="D8" s="43"/>
      <c r="E8" s="43"/>
      <c r="F8" s="43">
        <v>42</v>
      </c>
      <c r="G8" s="43"/>
      <c r="H8" s="39">
        <f t="shared" si="1"/>
        <v>8.4</v>
      </c>
      <c r="I8" s="39">
        <f t="shared" si="2"/>
        <v>3</v>
      </c>
      <c r="J8" s="39">
        <f t="shared" si="3"/>
        <v>3</v>
      </c>
      <c r="K8" s="39">
        <f t="shared" si="4"/>
        <v>7.64</v>
      </c>
      <c r="L8" s="39">
        <f t="shared" si="5"/>
        <v>0</v>
      </c>
    </row>
    <row r="9" spans="1:14">
      <c r="A9" s="44">
        <v>1</v>
      </c>
      <c r="B9" s="38" t="s">
        <v>46</v>
      </c>
      <c r="C9" s="38" t="s">
        <v>24</v>
      </c>
      <c r="D9" s="38" t="s">
        <v>51</v>
      </c>
      <c r="E9" s="45" t="s">
        <v>91</v>
      </c>
      <c r="F9" s="38">
        <v>56</v>
      </c>
      <c r="G9" s="38">
        <v>54</v>
      </c>
      <c r="H9" s="39">
        <f t="shared" si="1"/>
        <v>54.4</v>
      </c>
      <c r="I9" s="39">
        <f t="shared" si="2"/>
        <v>67</v>
      </c>
      <c r="J9" s="39">
        <f t="shared" si="3"/>
        <v>67</v>
      </c>
      <c r="K9" s="39">
        <f t="shared" si="4"/>
        <v>64.73</v>
      </c>
      <c r="L9" s="39">
        <f t="shared" si="5"/>
        <v>69.43</v>
      </c>
      <c r="M9" s="46"/>
      <c r="N9" s="47"/>
    </row>
    <row r="10" spans="1:14">
      <c r="A10" s="44">
        <v>2</v>
      </c>
      <c r="B10" s="38" t="s">
        <v>48</v>
      </c>
      <c r="C10" s="38" t="s">
        <v>25</v>
      </c>
      <c r="D10" s="38" t="s">
        <v>54</v>
      </c>
      <c r="E10" s="45" t="s">
        <v>97</v>
      </c>
      <c r="F10" s="38">
        <v>64.1</v>
      </c>
      <c r="G10" s="38">
        <v>74</v>
      </c>
      <c r="H10" s="39">
        <f t="shared" si="1"/>
        <v>72.02</v>
      </c>
      <c r="I10" s="39">
        <f t="shared" si="2"/>
        <v>78</v>
      </c>
      <c r="J10" s="39">
        <f t="shared" si="3"/>
        <v>78</v>
      </c>
      <c r="K10" s="39">
        <f t="shared" si="4"/>
        <v>70.29</v>
      </c>
      <c r="L10" s="39">
        <f t="shared" si="5"/>
        <v>84.07</v>
      </c>
      <c r="M10" s="46"/>
      <c r="N10" s="47"/>
    </row>
    <row r="11" spans="1:14">
      <c r="A11" s="44">
        <v>3</v>
      </c>
      <c r="B11" s="38" t="s">
        <v>64</v>
      </c>
      <c r="C11" s="38" t="s">
        <v>25</v>
      </c>
      <c r="D11" s="38" t="s">
        <v>55</v>
      </c>
      <c r="E11" s="45" t="s">
        <v>108</v>
      </c>
      <c r="F11" s="38">
        <v>61.6</v>
      </c>
      <c r="G11" s="38">
        <v>78</v>
      </c>
      <c r="H11" s="39">
        <f t="shared" si="1"/>
        <v>74.72</v>
      </c>
      <c r="I11" s="39">
        <f t="shared" si="2"/>
        <v>89</v>
      </c>
      <c r="J11" s="39">
        <f t="shared" si="3"/>
        <v>89</v>
      </c>
      <c r="K11" s="39">
        <f t="shared" si="4"/>
        <v>91.65</v>
      </c>
      <c r="L11" s="39">
        <f t="shared" si="5"/>
        <v>87.43</v>
      </c>
      <c r="M11" s="46"/>
      <c r="N11" s="47"/>
    </row>
    <row r="12" spans="1:14">
      <c r="A12" s="44">
        <v>4</v>
      </c>
      <c r="B12" s="38" t="s">
        <v>64</v>
      </c>
      <c r="C12" s="38" t="s">
        <v>25</v>
      </c>
      <c r="D12" s="38" t="s">
        <v>55</v>
      </c>
      <c r="E12" s="45" t="s">
        <v>108</v>
      </c>
      <c r="F12" s="38">
        <v>74</v>
      </c>
      <c r="G12" s="38">
        <v>50</v>
      </c>
      <c r="H12" s="39">
        <f t="shared" si="1"/>
        <v>54.8</v>
      </c>
      <c r="I12" s="39">
        <f t="shared" si="2"/>
        <v>81</v>
      </c>
      <c r="J12" s="39">
        <f t="shared" si="3"/>
        <v>81</v>
      </c>
      <c r="K12" s="39">
        <f t="shared" si="4"/>
        <v>93.91</v>
      </c>
      <c r="L12" s="39">
        <f t="shared" si="5"/>
        <v>71.43</v>
      </c>
      <c r="M12" s="46"/>
      <c r="N12" s="47"/>
    </row>
    <row r="13" spans="1:14">
      <c r="A13" s="44">
        <v>5</v>
      </c>
      <c r="B13" s="38" t="s">
        <v>56</v>
      </c>
      <c r="C13" s="38" t="s">
        <v>25</v>
      </c>
      <c r="D13" s="38" t="s">
        <v>53</v>
      </c>
      <c r="E13" s="45" t="s">
        <v>107</v>
      </c>
      <c r="F13" s="38">
        <v>49</v>
      </c>
      <c r="G13" s="38">
        <v>58</v>
      </c>
      <c r="H13" s="39">
        <f t="shared" si="1"/>
        <v>56.2</v>
      </c>
      <c r="I13" s="39">
        <f t="shared" si="2"/>
        <v>76</v>
      </c>
      <c r="J13" s="39">
        <f t="shared" si="3"/>
        <v>76</v>
      </c>
      <c r="K13" s="39">
        <f t="shared" si="4"/>
        <v>78.45</v>
      </c>
      <c r="L13" s="39">
        <f t="shared" si="5"/>
        <v>73.86</v>
      </c>
      <c r="M13" s="46"/>
      <c r="N13" s="47"/>
    </row>
    <row r="14" spans="1:14">
      <c r="A14" s="44">
        <v>6</v>
      </c>
      <c r="B14" s="38" t="s">
        <v>61</v>
      </c>
      <c r="C14" s="38" t="s">
        <v>25</v>
      </c>
      <c r="D14" s="38" t="s">
        <v>54</v>
      </c>
      <c r="E14" s="45" t="s">
        <v>116</v>
      </c>
      <c r="F14" s="38">
        <v>56</v>
      </c>
      <c r="G14" s="38">
        <v>76</v>
      </c>
      <c r="H14" s="39">
        <f t="shared" si="1"/>
        <v>72</v>
      </c>
      <c r="I14" s="39">
        <f t="shared" si="2"/>
        <v>86</v>
      </c>
      <c r="J14" s="39">
        <f t="shared" si="3"/>
        <v>86</v>
      </c>
      <c r="K14" s="39">
        <f t="shared" si="4"/>
        <v>86.55</v>
      </c>
      <c r="L14" s="39">
        <f t="shared" si="5"/>
        <v>85.21</v>
      </c>
      <c r="M14" s="46"/>
      <c r="N14" s="47"/>
    </row>
    <row r="15" spans="1:14">
      <c r="A15" s="44">
        <v>7</v>
      </c>
      <c r="B15" s="38" t="s">
        <v>57</v>
      </c>
      <c r="C15" s="38" t="s">
        <v>24</v>
      </c>
      <c r="D15" s="38" t="s">
        <v>55</v>
      </c>
      <c r="E15" s="45" t="s">
        <v>110</v>
      </c>
      <c r="F15" s="38">
        <v>52.5</v>
      </c>
      <c r="G15" s="38">
        <v>50</v>
      </c>
      <c r="H15" s="39">
        <f t="shared" si="1"/>
        <v>50.5</v>
      </c>
      <c r="I15" s="39">
        <f t="shared" si="2"/>
        <v>75</v>
      </c>
      <c r="J15" s="39">
        <f t="shared" si="3"/>
        <v>75</v>
      </c>
      <c r="K15" s="39">
        <f t="shared" si="4"/>
        <v>79.09</v>
      </c>
      <c r="L15" s="39">
        <f t="shared" si="5"/>
        <v>71.43</v>
      </c>
      <c r="M15" s="46"/>
      <c r="N15" s="47"/>
    </row>
    <row r="16" spans="1:14">
      <c r="A16" s="44">
        <v>8</v>
      </c>
      <c r="B16" s="38" t="s">
        <v>64</v>
      </c>
      <c r="C16" s="38" t="s">
        <v>25</v>
      </c>
      <c r="D16" s="38" t="s">
        <v>55</v>
      </c>
      <c r="E16" s="45" t="s">
        <v>108</v>
      </c>
      <c r="F16" s="38">
        <v>52.5</v>
      </c>
      <c r="G16" s="38">
        <v>70</v>
      </c>
      <c r="H16" s="39">
        <f t="shared" si="1"/>
        <v>66.5</v>
      </c>
      <c r="I16" s="39">
        <f t="shared" si="2"/>
        <v>86</v>
      </c>
      <c r="J16" s="39">
        <f t="shared" si="3"/>
        <v>86</v>
      </c>
      <c r="K16" s="39">
        <f t="shared" si="4"/>
        <v>90</v>
      </c>
      <c r="L16" s="39">
        <f t="shared" si="5"/>
        <v>82.86</v>
      </c>
      <c r="M16" s="46"/>
      <c r="N16" s="47"/>
    </row>
    <row r="17" spans="1:14">
      <c r="A17" s="44">
        <v>9</v>
      </c>
      <c r="B17" s="38" t="s">
        <v>64</v>
      </c>
      <c r="C17" s="38" t="s">
        <v>25</v>
      </c>
      <c r="D17" s="38" t="s">
        <v>55</v>
      </c>
      <c r="E17" s="45" t="s">
        <v>108</v>
      </c>
      <c r="F17" s="38">
        <v>56</v>
      </c>
      <c r="G17" s="38">
        <v>60</v>
      </c>
      <c r="H17" s="39">
        <f t="shared" si="1"/>
        <v>59.2</v>
      </c>
      <c r="I17" s="39">
        <f t="shared" si="2"/>
        <v>83</v>
      </c>
      <c r="J17" s="39">
        <f t="shared" si="3"/>
        <v>83</v>
      </c>
      <c r="K17" s="39">
        <f t="shared" si="4"/>
        <v>90.64</v>
      </c>
      <c r="L17" s="39">
        <f t="shared" si="5"/>
        <v>77.14</v>
      </c>
      <c r="M17" s="46"/>
      <c r="N17" s="47"/>
    </row>
    <row r="18" spans="1:14">
      <c r="A18" s="44">
        <v>10</v>
      </c>
      <c r="B18" s="38" t="s">
        <v>64</v>
      </c>
      <c r="C18" s="38" t="s">
        <v>25</v>
      </c>
      <c r="D18" s="38" t="s">
        <v>55</v>
      </c>
      <c r="E18" s="45" t="s">
        <v>108</v>
      </c>
      <c r="F18" s="38">
        <v>56</v>
      </c>
      <c r="G18" s="38">
        <v>78</v>
      </c>
      <c r="H18" s="39">
        <f t="shared" si="1"/>
        <v>73.6</v>
      </c>
      <c r="I18" s="39">
        <f t="shared" si="2"/>
        <v>89</v>
      </c>
      <c r="J18" s="39">
        <f t="shared" si="3"/>
        <v>89</v>
      </c>
      <c r="K18" s="39">
        <f t="shared" si="4"/>
        <v>90.64</v>
      </c>
      <c r="L18" s="39">
        <f t="shared" si="5"/>
        <v>87.43</v>
      </c>
      <c r="M18" s="46"/>
      <c r="N18" s="47"/>
    </row>
    <row r="19" spans="1:14">
      <c r="A19" s="44">
        <v>11</v>
      </c>
      <c r="B19" s="38" t="s">
        <v>64</v>
      </c>
      <c r="C19" s="38" t="s">
        <v>25</v>
      </c>
      <c r="D19" s="38" t="s">
        <v>55</v>
      </c>
      <c r="E19" s="45" t="s">
        <v>108</v>
      </c>
      <c r="F19" s="38">
        <v>74</v>
      </c>
      <c r="G19" s="38">
        <v>90</v>
      </c>
      <c r="H19" s="39">
        <f t="shared" si="1"/>
        <v>86.8</v>
      </c>
      <c r="I19" s="39">
        <f t="shared" si="2"/>
        <v>94</v>
      </c>
      <c r="J19" s="39">
        <f t="shared" si="3"/>
        <v>94</v>
      </c>
      <c r="K19" s="39">
        <f t="shared" si="4"/>
        <v>93.91</v>
      </c>
      <c r="L19" s="39">
        <f t="shared" si="5"/>
        <v>94.29</v>
      </c>
      <c r="M19" s="46"/>
      <c r="N19" s="47"/>
    </row>
    <row r="20" spans="1:14">
      <c r="A20" s="44">
        <v>12</v>
      </c>
      <c r="B20" s="38" t="s">
        <v>61</v>
      </c>
      <c r="C20" s="38" t="s">
        <v>25</v>
      </c>
      <c r="D20" s="38" t="s">
        <v>54</v>
      </c>
      <c r="E20" s="45" t="s">
        <v>116</v>
      </c>
      <c r="F20" s="38">
        <v>74</v>
      </c>
      <c r="G20" s="38">
        <v>74</v>
      </c>
      <c r="H20" s="39">
        <f t="shared" si="1"/>
        <v>74</v>
      </c>
      <c r="I20" s="39">
        <f t="shared" si="2"/>
        <v>87</v>
      </c>
      <c r="J20" s="39">
        <f t="shared" si="3"/>
        <v>87</v>
      </c>
      <c r="K20" s="39">
        <f t="shared" si="4"/>
        <v>89.82</v>
      </c>
      <c r="L20" s="39">
        <f t="shared" si="5"/>
        <v>84.07</v>
      </c>
      <c r="M20" s="46"/>
      <c r="N20" s="47"/>
    </row>
    <row r="21" spans="1:14">
      <c r="A21" s="44">
        <v>13</v>
      </c>
      <c r="B21" s="38" t="s">
        <v>55</v>
      </c>
      <c r="C21" s="38" t="s">
        <v>25</v>
      </c>
      <c r="D21" s="38" t="s">
        <v>52</v>
      </c>
      <c r="E21" s="45" t="s">
        <v>109</v>
      </c>
      <c r="F21" s="38">
        <v>74</v>
      </c>
      <c r="G21" s="38">
        <v>82</v>
      </c>
      <c r="H21" s="39">
        <f t="shared" si="1"/>
        <v>80.4</v>
      </c>
      <c r="I21" s="39">
        <f t="shared" si="2"/>
        <v>84</v>
      </c>
      <c r="J21" s="39">
        <f t="shared" si="3"/>
        <v>84</v>
      </c>
      <c r="K21" s="39">
        <f t="shared" si="4"/>
        <v>81.64</v>
      </c>
      <c r="L21" s="39">
        <f t="shared" si="5"/>
        <v>86.5</v>
      </c>
      <c r="M21" s="46"/>
      <c r="N21" s="47"/>
    </row>
    <row r="22" spans="1:14">
      <c r="A22" s="44">
        <v>14</v>
      </c>
      <c r="B22" s="38" t="s">
        <v>64</v>
      </c>
      <c r="C22" s="38" t="s">
        <v>25</v>
      </c>
      <c r="D22" s="38" t="s">
        <v>55</v>
      </c>
      <c r="E22" s="45" t="s">
        <v>108</v>
      </c>
      <c r="F22" s="38">
        <v>86</v>
      </c>
      <c r="G22" s="38">
        <v>88</v>
      </c>
      <c r="H22" s="39">
        <f t="shared" si="1"/>
        <v>87.6</v>
      </c>
      <c r="I22" s="39">
        <f t="shared" si="2"/>
        <v>94</v>
      </c>
      <c r="J22" s="39">
        <f t="shared" si="3"/>
        <v>94</v>
      </c>
      <c r="K22" s="39">
        <f t="shared" si="4"/>
        <v>96.09</v>
      </c>
      <c r="L22" s="39">
        <f t="shared" si="5"/>
        <v>93.14</v>
      </c>
      <c r="M22" s="46"/>
      <c r="N22" s="47"/>
    </row>
    <row r="23" spans="1:14">
      <c r="A23" s="44">
        <v>15</v>
      </c>
      <c r="B23" s="38" t="s">
        <v>59</v>
      </c>
      <c r="C23" s="38" t="s">
        <v>25</v>
      </c>
      <c r="D23" s="38" t="s">
        <v>51</v>
      </c>
      <c r="E23" s="45" t="s">
        <v>113</v>
      </c>
      <c r="F23" s="38">
        <v>56</v>
      </c>
      <c r="G23" s="38">
        <v>80</v>
      </c>
      <c r="H23" s="39">
        <f t="shared" si="1"/>
        <v>75.2</v>
      </c>
      <c r="I23" s="39">
        <f t="shared" si="2"/>
        <v>84</v>
      </c>
      <c r="J23" s="39">
        <f t="shared" si="3"/>
        <v>84</v>
      </c>
      <c r="K23" s="39">
        <f t="shared" si="4"/>
        <v>83.82</v>
      </c>
      <c r="L23" s="39">
        <f t="shared" si="5"/>
        <v>84.29</v>
      </c>
      <c r="M23" s="46"/>
      <c r="N23" s="47"/>
    </row>
    <row r="24" spans="1:14">
      <c r="A24" s="44">
        <v>16</v>
      </c>
      <c r="B24" s="38" t="s">
        <v>64</v>
      </c>
      <c r="C24" s="38" t="s">
        <v>25</v>
      </c>
      <c r="D24" s="38" t="s">
        <v>55</v>
      </c>
      <c r="E24" s="45" t="s">
        <v>108</v>
      </c>
      <c r="F24" s="38">
        <v>74</v>
      </c>
      <c r="G24" s="38">
        <v>84</v>
      </c>
      <c r="H24" s="39">
        <f t="shared" si="1"/>
        <v>82</v>
      </c>
      <c r="I24" s="39">
        <f t="shared" si="2"/>
        <v>92</v>
      </c>
      <c r="J24" s="39">
        <f t="shared" si="3"/>
        <v>92</v>
      </c>
      <c r="K24" s="39">
        <f t="shared" si="4"/>
        <v>93.91</v>
      </c>
      <c r="L24" s="39">
        <f t="shared" si="5"/>
        <v>90.86</v>
      </c>
      <c r="M24" s="46"/>
      <c r="N24" s="47"/>
    </row>
    <row r="25" spans="1:14">
      <c r="A25" s="44">
        <v>17</v>
      </c>
      <c r="B25" s="38" t="s">
        <v>64</v>
      </c>
      <c r="C25" s="38" t="s">
        <v>25</v>
      </c>
      <c r="D25" s="38" t="s">
        <v>55</v>
      </c>
      <c r="E25" s="45" t="s">
        <v>108</v>
      </c>
      <c r="F25" s="38">
        <v>70.5</v>
      </c>
      <c r="G25" s="38">
        <v>80</v>
      </c>
      <c r="H25" s="39">
        <f t="shared" si="1"/>
        <v>78.1</v>
      </c>
      <c r="I25" s="39">
        <f t="shared" si="2"/>
        <v>91</v>
      </c>
      <c r="J25" s="39">
        <f t="shared" si="3"/>
        <v>91</v>
      </c>
      <c r="K25" s="39">
        <f t="shared" si="4"/>
        <v>93.27</v>
      </c>
      <c r="L25" s="39">
        <f t="shared" si="5"/>
        <v>88.57</v>
      </c>
      <c r="M25" s="46"/>
      <c r="N25" s="47"/>
    </row>
    <row r="26" spans="1:14">
      <c r="A26" s="44">
        <v>18</v>
      </c>
      <c r="B26" s="38" t="s">
        <v>64</v>
      </c>
      <c r="C26" s="38" t="s">
        <v>25</v>
      </c>
      <c r="D26" s="38" t="s">
        <v>55</v>
      </c>
      <c r="E26" s="45" t="s">
        <v>108</v>
      </c>
      <c r="F26" s="38">
        <v>70.5</v>
      </c>
      <c r="G26" s="38">
        <v>74</v>
      </c>
      <c r="H26" s="39">
        <f t="shared" si="1"/>
        <v>73.3</v>
      </c>
      <c r="I26" s="39">
        <f t="shared" si="2"/>
        <v>89</v>
      </c>
      <c r="J26" s="39">
        <f t="shared" si="3"/>
        <v>89</v>
      </c>
      <c r="K26" s="39">
        <f t="shared" si="4"/>
        <v>93.27</v>
      </c>
      <c r="L26" s="39">
        <f t="shared" si="5"/>
        <v>85.14</v>
      </c>
      <c r="M26" s="46"/>
      <c r="N26" s="47"/>
    </row>
    <row r="27" spans="1:14">
      <c r="A27" s="44">
        <v>19</v>
      </c>
      <c r="B27" s="38" t="s">
        <v>64</v>
      </c>
      <c r="C27" s="38" t="s">
        <v>25</v>
      </c>
      <c r="D27" s="38" t="s">
        <v>54</v>
      </c>
      <c r="E27" s="45" t="s">
        <v>105</v>
      </c>
      <c r="F27" s="38">
        <v>74</v>
      </c>
      <c r="G27" s="38">
        <v>86</v>
      </c>
      <c r="H27" s="39">
        <f t="shared" si="1"/>
        <v>83.6</v>
      </c>
      <c r="I27" s="39">
        <f t="shared" si="2"/>
        <v>92</v>
      </c>
      <c r="J27" s="39">
        <f t="shared" si="3"/>
        <v>92</v>
      </c>
      <c r="K27" s="39">
        <f t="shared" si="4"/>
        <v>93.91</v>
      </c>
      <c r="L27" s="39">
        <f t="shared" si="5"/>
        <v>90.93</v>
      </c>
      <c r="M27" s="46"/>
      <c r="N27" s="47"/>
    </row>
    <row r="28" spans="1:14">
      <c r="A28" s="44">
        <v>20</v>
      </c>
      <c r="B28" s="38" t="s">
        <v>64</v>
      </c>
      <c r="C28" s="38" t="s">
        <v>25</v>
      </c>
      <c r="D28" s="38" t="s">
        <v>55</v>
      </c>
      <c r="E28" s="45" t="s">
        <v>108</v>
      </c>
      <c r="F28" s="38">
        <v>74</v>
      </c>
      <c r="G28" s="38">
        <v>72</v>
      </c>
      <c r="H28" s="39">
        <f t="shared" si="1"/>
        <v>72.4</v>
      </c>
      <c r="I28" s="39">
        <f t="shared" si="2"/>
        <v>88</v>
      </c>
      <c r="J28" s="39">
        <f t="shared" si="3"/>
        <v>88</v>
      </c>
      <c r="K28" s="39">
        <f t="shared" si="4"/>
        <v>93.91</v>
      </c>
      <c r="L28" s="39">
        <f t="shared" si="5"/>
        <v>84</v>
      </c>
      <c r="M28" s="46"/>
      <c r="N28" s="47"/>
    </row>
    <row r="29" spans="1:14">
      <c r="A29" s="44">
        <v>21</v>
      </c>
      <c r="B29" s="38" t="s">
        <v>55</v>
      </c>
      <c r="C29" s="38" t="s">
        <v>19</v>
      </c>
      <c r="D29" s="38" t="s">
        <v>53</v>
      </c>
      <c r="E29" s="45" t="s">
        <v>97</v>
      </c>
      <c r="F29" s="38">
        <v>74</v>
      </c>
      <c r="G29" s="38">
        <v>88</v>
      </c>
      <c r="H29" s="39">
        <f t="shared" si="1"/>
        <v>85.2</v>
      </c>
      <c r="I29" s="39">
        <f t="shared" si="2"/>
        <v>83</v>
      </c>
      <c r="J29" s="39">
        <f t="shared" si="3"/>
        <v>83</v>
      </c>
      <c r="K29" s="39">
        <f t="shared" si="4"/>
        <v>73.45</v>
      </c>
      <c r="L29" s="39">
        <f t="shared" si="5"/>
        <v>91</v>
      </c>
      <c r="M29" s="46"/>
      <c r="N29" s="47"/>
    </row>
    <row r="30" spans="1:14">
      <c r="A30" s="44">
        <v>22</v>
      </c>
      <c r="B30" s="38" t="s">
        <v>60</v>
      </c>
      <c r="C30" s="38" t="s">
        <v>25</v>
      </c>
      <c r="D30" s="38" t="s">
        <v>53</v>
      </c>
      <c r="E30" s="45" t="s">
        <v>118</v>
      </c>
      <c r="F30" s="38">
        <v>79.6</v>
      </c>
      <c r="G30" s="38">
        <v>80</v>
      </c>
      <c r="H30" s="39">
        <f t="shared" si="1"/>
        <v>79.92</v>
      </c>
      <c r="I30" s="39">
        <f t="shared" si="2"/>
        <v>88</v>
      </c>
      <c r="J30" s="39">
        <f t="shared" si="3"/>
        <v>88</v>
      </c>
      <c r="K30" s="39">
        <f t="shared" si="4"/>
        <v>89.47</v>
      </c>
      <c r="L30" s="39">
        <f t="shared" si="5"/>
        <v>86.43</v>
      </c>
      <c r="M30" s="46"/>
      <c r="N30" s="47"/>
    </row>
    <row r="31" spans="1:14">
      <c r="A31" s="44">
        <v>23</v>
      </c>
      <c r="B31" s="38" t="s">
        <v>54</v>
      </c>
      <c r="C31" s="38" t="s">
        <v>21</v>
      </c>
      <c r="D31" s="38" t="s">
        <v>54</v>
      </c>
      <c r="E31" s="45" t="s">
        <v>99</v>
      </c>
      <c r="F31" s="38">
        <v>67</v>
      </c>
      <c r="G31" s="38">
        <v>72</v>
      </c>
      <c r="H31" s="39">
        <f t="shared" si="1"/>
        <v>71</v>
      </c>
      <c r="I31" s="39">
        <f t="shared" si="2"/>
        <v>79</v>
      </c>
      <c r="J31" s="39">
        <f t="shared" si="3"/>
        <v>79</v>
      </c>
      <c r="K31" s="39">
        <f t="shared" si="4"/>
        <v>73.55</v>
      </c>
      <c r="L31" s="39">
        <f t="shared" si="5"/>
        <v>82.93</v>
      </c>
      <c r="M31" s="46"/>
      <c r="N31" s="47"/>
    </row>
    <row r="32" spans="1:14">
      <c r="A32" s="44">
        <v>24</v>
      </c>
      <c r="B32" s="38" t="s">
        <v>55</v>
      </c>
      <c r="C32" s="38" t="s">
        <v>24</v>
      </c>
      <c r="D32" s="38" t="s">
        <v>53</v>
      </c>
      <c r="E32" s="45" t="s">
        <v>109</v>
      </c>
      <c r="F32" s="38">
        <v>74</v>
      </c>
      <c r="G32" s="38">
        <v>80</v>
      </c>
      <c r="H32" s="39">
        <f t="shared" si="1"/>
        <v>78.8</v>
      </c>
      <c r="I32" s="39">
        <f t="shared" si="2"/>
        <v>84</v>
      </c>
      <c r="J32" s="39">
        <f t="shared" si="3"/>
        <v>84</v>
      </c>
      <c r="K32" s="39">
        <f t="shared" si="4"/>
        <v>80.27</v>
      </c>
      <c r="L32" s="39">
        <f t="shared" si="5"/>
        <v>86.43</v>
      </c>
      <c r="M32" s="46"/>
      <c r="N32" s="47"/>
    </row>
    <row r="33" spans="1:14">
      <c r="A33" s="44">
        <v>25</v>
      </c>
      <c r="B33" s="38" t="s">
        <v>64</v>
      </c>
      <c r="C33" s="38" t="s">
        <v>25</v>
      </c>
      <c r="D33" s="38" t="s">
        <v>55</v>
      </c>
      <c r="E33" s="45" t="s">
        <v>108</v>
      </c>
      <c r="F33" s="38">
        <v>74</v>
      </c>
      <c r="G33" s="38">
        <v>82</v>
      </c>
      <c r="H33" s="39">
        <f t="shared" si="1"/>
        <v>80.4</v>
      </c>
      <c r="I33" s="39">
        <f t="shared" si="2"/>
        <v>92</v>
      </c>
      <c r="J33" s="39">
        <f t="shared" si="3"/>
        <v>92</v>
      </c>
      <c r="K33" s="39">
        <f t="shared" si="4"/>
        <v>93.91</v>
      </c>
      <c r="L33" s="39">
        <f t="shared" si="5"/>
        <v>89.71</v>
      </c>
      <c r="M33" s="46"/>
      <c r="N33" s="47"/>
    </row>
    <row r="34" spans="1:14">
      <c r="A34" s="44">
        <v>26</v>
      </c>
      <c r="B34" s="44" t="s">
        <v>64</v>
      </c>
      <c r="C34" s="44" t="s">
        <v>25</v>
      </c>
      <c r="D34" s="44" t="s">
        <v>55</v>
      </c>
      <c r="E34" s="44" t="s">
        <v>108</v>
      </c>
      <c r="F34" s="38">
        <v>77.5</v>
      </c>
      <c r="G34" s="38">
        <v>84</v>
      </c>
      <c r="H34" s="39">
        <f t="shared" si="1"/>
        <v>82.7</v>
      </c>
      <c r="I34" s="39">
        <f t="shared" si="2"/>
        <v>92</v>
      </c>
      <c r="J34" s="39">
        <f t="shared" si="3"/>
        <v>92</v>
      </c>
      <c r="K34" s="39">
        <f t="shared" si="4"/>
        <v>94.55</v>
      </c>
      <c r="L34" s="39">
        <f t="shared" si="5"/>
        <v>90.86</v>
      </c>
      <c r="M34" s="46"/>
      <c r="N34" s="47"/>
    </row>
    <row r="35" spans="1:14">
      <c r="A35" s="44">
        <v>27</v>
      </c>
      <c r="B35" s="44" t="s">
        <v>65</v>
      </c>
      <c r="C35" s="44" t="s">
        <v>25</v>
      </c>
      <c r="D35" s="44" t="s">
        <v>55</v>
      </c>
      <c r="E35" s="44" t="s">
        <v>121</v>
      </c>
      <c r="F35" s="38">
        <v>67</v>
      </c>
      <c r="G35" s="38">
        <v>52</v>
      </c>
      <c r="H35" s="39">
        <f t="shared" si="1"/>
        <v>55</v>
      </c>
      <c r="I35" s="39">
        <f t="shared" si="2"/>
        <v>82</v>
      </c>
      <c r="J35" s="39">
        <f t="shared" si="3"/>
        <v>82</v>
      </c>
      <c r="K35" s="39">
        <f t="shared" si="4"/>
        <v>94</v>
      </c>
      <c r="L35" s="39">
        <f t="shared" si="5"/>
        <v>72.57</v>
      </c>
      <c r="M35" s="46"/>
      <c r="N35" s="47"/>
    </row>
    <row r="36" spans="1:14">
      <c r="A36" s="44">
        <v>28</v>
      </c>
      <c r="B36" s="44" t="s">
        <v>64</v>
      </c>
      <c r="C36" s="44" t="s">
        <v>25</v>
      </c>
      <c r="D36" s="44" t="s">
        <v>53</v>
      </c>
      <c r="E36" s="44" t="s">
        <v>111</v>
      </c>
      <c r="F36" s="38">
        <v>56</v>
      </c>
      <c r="G36" s="38">
        <v>80</v>
      </c>
      <c r="H36" s="39">
        <f t="shared" si="1"/>
        <v>75.2</v>
      </c>
      <c r="I36" s="39">
        <f t="shared" si="2"/>
        <v>88</v>
      </c>
      <c r="J36" s="39">
        <f t="shared" si="3"/>
        <v>88</v>
      </c>
      <c r="K36" s="39">
        <f t="shared" si="4"/>
        <v>90.64</v>
      </c>
      <c r="L36" s="39">
        <f t="shared" si="5"/>
        <v>86.43</v>
      </c>
      <c r="M36" s="46"/>
      <c r="N36" s="47"/>
    </row>
    <row r="37" spans="1:14">
      <c r="A37" s="44">
        <v>29</v>
      </c>
      <c r="B37" s="44" t="s">
        <v>64</v>
      </c>
      <c r="C37" s="44" t="s">
        <v>25</v>
      </c>
      <c r="D37" s="44" t="s">
        <v>53</v>
      </c>
      <c r="E37" s="44" t="s">
        <v>111</v>
      </c>
      <c r="F37" s="38">
        <v>74</v>
      </c>
      <c r="G37" s="38">
        <v>72</v>
      </c>
      <c r="H37" s="39">
        <f t="shared" si="1"/>
        <v>72.4</v>
      </c>
      <c r="I37" s="39">
        <f t="shared" si="2"/>
        <v>87</v>
      </c>
      <c r="J37" s="39">
        <f t="shared" si="3"/>
        <v>87</v>
      </c>
      <c r="K37" s="39">
        <f t="shared" si="4"/>
        <v>93.91</v>
      </c>
      <c r="L37" s="39">
        <f t="shared" si="5"/>
        <v>81.86</v>
      </c>
      <c r="M37" s="46"/>
      <c r="N37" s="47"/>
    </row>
    <row r="38" spans="1:14">
      <c r="A38" s="44">
        <v>30</v>
      </c>
      <c r="B38" s="44" t="s">
        <v>62</v>
      </c>
      <c r="C38" s="44" t="s">
        <v>25</v>
      </c>
      <c r="D38" s="44" t="s">
        <v>53</v>
      </c>
      <c r="E38" s="44" t="s">
        <v>116</v>
      </c>
      <c r="F38" s="38">
        <v>74</v>
      </c>
      <c r="G38" s="38">
        <v>60</v>
      </c>
      <c r="H38" s="39">
        <f t="shared" si="1"/>
        <v>62.8</v>
      </c>
      <c r="I38" s="39">
        <f t="shared" si="2"/>
        <v>82</v>
      </c>
      <c r="J38" s="39">
        <f t="shared" si="3"/>
        <v>82</v>
      </c>
      <c r="K38" s="39">
        <f t="shared" si="4"/>
        <v>91.18</v>
      </c>
      <c r="L38" s="39">
        <f t="shared" si="5"/>
        <v>75</v>
      </c>
      <c r="M38" s="46"/>
      <c r="N38" s="47"/>
    </row>
    <row r="39" spans="1:14">
      <c r="A39" s="44">
        <v>31</v>
      </c>
      <c r="B39" s="44" t="s">
        <v>64</v>
      </c>
      <c r="C39" s="44" t="s">
        <v>25</v>
      </c>
      <c r="D39" s="44" t="s">
        <v>52</v>
      </c>
      <c r="E39" s="44" t="s">
        <v>112</v>
      </c>
      <c r="F39" s="38">
        <v>74</v>
      </c>
      <c r="G39" s="38">
        <v>86</v>
      </c>
      <c r="H39" s="39">
        <f t="shared" si="1"/>
        <v>83.6</v>
      </c>
      <c r="I39" s="39">
        <f t="shared" si="2"/>
        <v>91</v>
      </c>
      <c r="J39" s="39">
        <f t="shared" si="3"/>
        <v>91</v>
      </c>
      <c r="K39" s="39">
        <f t="shared" si="4"/>
        <v>93.91</v>
      </c>
      <c r="L39" s="39">
        <f t="shared" si="5"/>
        <v>88.79</v>
      </c>
      <c r="M39" s="46"/>
      <c r="N39" s="47"/>
    </row>
    <row r="40" spans="1:14">
      <c r="A40" s="44">
        <v>32</v>
      </c>
      <c r="B40" s="44" t="s">
        <v>64</v>
      </c>
      <c r="C40" s="44" t="s">
        <v>25</v>
      </c>
      <c r="D40" s="44" t="s">
        <v>55</v>
      </c>
      <c r="E40" s="44" t="s">
        <v>108</v>
      </c>
      <c r="F40" s="38">
        <v>49</v>
      </c>
      <c r="G40" s="38">
        <v>58</v>
      </c>
      <c r="H40" s="39">
        <f t="shared" si="1"/>
        <v>56.2</v>
      </c>
      <c r="I40" s="39">
        <f t="shared" si="2"/>
        <v>82</v>
      </c>
      <c r="J40" s="39">
        <f t="shared" si="3"/>
        <v>82</v>
      </c>
      <c r="K40" s="39">
        <f t="shared" si="4"/>
        <v>89.36</v>
      </c>
      <c r="L40" s="39">
        <f t="shared" si="5"/>
        <v>76</v>
      </c>
      <c r="M40" s="46"/>
      <c r="N40" s="47"/>
    </row>
    <row r="41" spans="1:14">
      <c r="A41" s="44">
        <v>33</v>
      </c>
      <c r="B41" s="44" t="s">
        <v>64</v>
      </c>
      <c r="C41" s="44" t="s">
        <v>25</v>
      </c>
      <c r="D41" s="44" t="s">
        <v>54</v>
      </c>
      <c r="E41" s="44" t="s">
        <v>105</v>
      </c>
      <c r="F41" s="38">
        <v>74</v>
      </c>
      <c r="G41" s="38">
        <v>78</v>
      </c>
      <c r="H41" s="39">
        <f t="shared" si="1"/>
        <v>77.2</v>
      </c>
      <c r="I41" s="39">
        <f t="shared" si="2"/>
        <v>90</v>
      </c>
      <c r="J41" s="39">
        <f t="shared" si="3"/>
        <v>90</v>
      </c>
      <c r="K41" s="39">
        <f t="shared" si="4"/>
        <v>93.91</v>
      </c>
      <c r="L41" s="39">
        <f t="shared" si="5"/>
        <v>86.36</v>
      </c>
      <c r="M41" s="46"/>
      <c r="N41" s="47"/>
    </row>
    <row r="42" spans="1:14">
      <c r="A42" s="44">
        <v>34</v>
      </c>
      <c r="B42" s="44" t="s">
        <v>64</v>
      </c>
      <c r="C42" s="44" t="s">
        <v>25</v>
      </c>
      <c r="D42" s="44" t="s">
        <v>55</v>
      </c>
      <c r="E42" s="44" t="s">
        <v>108</v>
      </c>
      <c r="F42" s="38">
        <v>59.5</v>
      </c>
      <c r="G42" s="38">
        <v>62</v>
      </c>
      <c r="H42" s="39">
        <f t="shared" si="1"/>
        <v>61.5</v>
      </c>
      <c r="I42" s="39">
        <f t="shared" si="2"/>
        <v>84</v>
      </c>
      <c r="J42" s="39">
        <f t="shared" si="3"/>
        <v>84</v>
      </c>
      <c r="K42" s="39">
        <f t="shared" si="4"/>
        <v>91.27</v>
      </c>
      <c r="L42" s="39">
        <f t="shared" si="5"/>
        <v>78.29</v>
      </c>
      <c r="M42" s="46"/>
      <c r="N42" s="47"/>
    </row>
    <row r="43" spans="1:14">
      <c r="A43" s="44">
        <v>35</v>
      </c>
      <c r="B43" s="44" t="s">
        <v>62</v>
      </c>
      <c r="C43" s="44" t="s">
        <v>25</v>
      </c>
      <c r="D43" s="44" t="s">
        <v>54</v>
      </c>
      <c r="E43" s="44" t="s">
        <v>112</v>
      </c>
      <c r="F43" s="38">
        <v>67</v>
      </c>
      <c r="G43" s="38">
        <v>88</v>
      </c>
      <c r="H43" s="39">
        <f t="shared" si="1"/>
        <v>83.8</v>
      </c>
      <c r="I43" s="39">
        <f t="shared" si="2"/>
        <v>91</v>
      </c>
      <c r="J43" s="39">
        <f t="shared" si="3"/>
        <v>91</v>
      </c>
      <c r="K43" s="39">
        <f t="shared" si="4"/>
        <v>89.91</v>
      </c>
      <c r="L43" s="39">
        <f t="shared" si="5"/>
        <v>92.07</v>
      </c>
      <c r="M43" s="46"/>
      <c r="N43" s="47"/>
    </row>
    <row r="44" spans="1:14">
      <c r="A44" s="44">
        <v>36</v>
      </c>
      <c r="B44" s="44" t="s">
        <v>63</v>
      </c>
      <c r="C44" s="44" t="s">
        <v>25</v>
      </c>
      <c r="D44" s="44" t="s">
        <v>52</v>
      </c>
      <c r="E44" s="44" t="s">
        <v>116</v>
      </c>
      <c r="F44" s="38">
        <v>60</v>
      </c>
      <c r="G44" s="38">
        <v>60</v>
      </c>
      <c r="H44" s="39">
        <f t="shared" si="1"/>
        <v>60</v>
      </c>
      <c r="I44" s="39">
        <f t="shared" si="2"/>
        <v>81</v>
      </c>
      <c r="J44" s="39">
        <f t="shared" si="3"/>
        <v>81</v>
      </c>
      <c r="K44" s="39">
        <f t="shared" si="4"/>
        <v>90</v>
      </c>
      <c r="L44" s="39">
        <f t="shared" si="5"/>
        <v>73.93</v>
      </c>
      <c r="M44" s="46"/>
      <c r="N44" s="47"/>
    </row>
    <row r="45" spans="1:14">
      <c r="A45" s="44">
        <v>37</v>
      </c>
      <c r="B45" s="44" t="s">
        <v>64</v>
      </c>
      <c r="C45" s="44" t="s">
        <v>25</v>
      </c>
      <c r="D45" s="44" t="s">
        <v>55</v>
      </c>
      <c r="E45" s="44" t="s">
        <v>108</v>
      </c>
      <c r="F45" s="38">
        <v>56</v>
      </c>
      <c r="G45" s="38">
        <v>60</v>
      </c>
      <c r="H45" s="39">
        <f t="shared" si="1"/>
        <v>59.2</v>
      </c>
      <c r="I45" s="39">
        <f t="shared" si="2"/>
        <v>83</v>
      </c>
      <c r="J45" s="39">
        <f t="shared" si="3"/>
        <v>83</v>
      </c>
      <c r="K45" s="39">
        <f t="shared" si="4"/>
        <v>90.64</v>
      </c>
      <c r="L45" s="39">
        <f t="shared" si="5"/>
        <v>77.14</v>
      </c>
      <c r="M45" s="46"/>
      <c r="N45" s="47"/>
    </row>
    <row r="46" spans="1:14">
      <c r="A46" s="44">
        <v>38</v>
      </c>
      <c r="B46" s="44" t="s">
        <v>64</v>
      </c>
      <c r="C46" s="44" t="s">
        <v>25</v>
      </c>
      <c r="D46" s="44" t="s">
        <v>55</v>
      </c>
      <c r="E46" s="44" t="s">
        <v>108</v>
      </c>
      <c r="F46" s="38">
        <v>59.5</v>
      </c>
      <c r="G46" s="38">
        <v>58</v>
      </c>
      <c r="H46" s="39">
        <f t="shared" si="1"/>
        <v>58.3</v>
      </c>
      <c r="I46" s="39">
        <f t="shared" si="2"/>
        <v>83</v>
      </c>
      <c r="J46" s="39">
        <f t="shared" si="3"/>
        <v>83</v>
      </c>
      <c r="K46" s="39">
        <f t="shared" si="4"/>
        <v>91.27</v>
      </c>
      <c r="L46" s="39">
        <f t="shared" si="5"/>
        <v>76</v>
      </c>
      <c r="M46" s="46"/>
      <c r="N46" s="47"/>
    </row>
    <row r="47" spans="1:14">
      <c r="A47" s="44">
        <v>39</v>
      </c>
      <c r="B47" s="44" t="s">
        <v>64</v>
      </c>
      <c r="C47" s="44" t="s">
        <v>25</v>
      </c>
      <c r="D47" s="44" t="s">
        <v>55</v>
      </c>
      <c r="E47" s="44" t="s">
        <v>108</v>
      </c>
      <c r="F47" s="38">
        <v>70</v>
      </c>
      <c r="G47" s="38">
        <v>86</v>
      </c>
      <c r="H47" s="39">
        <f t="shared" si="1"/>
        <v>82.8</v>
      </c>
      <c r="I47" s="39">
        <f t="shared" si="2"/>
        <v>93</v>
      </c>
      <c r="J47" s="39">
        <f t="shared" si="3"/>
        <v>93</v>
      </c>
      <c r="K47" s="39">
        <f t="shared" si="4"/>
        <v>93.18</v>
      </c>
      <c r="L47" s="39">
        <f t="shared" si="5"/>
        <v>92</v>
      </c>
      <c r="M47" s="46"/>
      <c r="N47" s="47"/>
    </row>
    <row r="48" spans="1:14">
      <c r="A48" s="44">
        <v>40</v>
      </c>
      <c r="B48" s="44" t="s">
        <v>64</v>
      </c>
      <c r="C48" s="44" t="s">
        <v>25</v>
      </c>
      <c r="D48" s="44" t="s">
        <v>55</v>
      </c>
      <c r="E48" s="44" t="s">
        <v>108</v>
      </c>
      <c r="F48" s="38">
        <v>56</v>
      </c>
      <c r="G48" s="38">
        <v>82</v>
      </c>
      <c r="H48" s="39">
        <f t="shared" si="1"/>
        <v>76.8</v>
      </c>
      <c r="I48" s="39">
        <f t="shared" si="2"/>
        <v>90</v>
      </c>
      <c r="J48" s="39">
        <f t="shared" si="3"/>
        <v>90</v>
      </c>
      <c r="K48" s="39">
        <f t="shared" si="4"/>
        <v>90.64</v>
      </c>
      <c r="L48" s="39">
        <f t="shared" si="5"/>
        <v>89.71</v>
      </c>
      <c r="M48" s="46"/>
      <c r="N48" s="47"/>
    </row>
    <row r="49" spans="1:14">
      <c r="A49" s="44">
        <v>41</v>
      </c>
      <c r="B49" s="44" t="s">
        <v>64</v>
      </c>
      <c r="C49" s="44" t="s">
        <v>25</v>
      </c>
      <c r="D49" s="44" t="s">
        <v>55</v>
      </c>
      <c r="E49" s="44" t="s">
        <v>108</v>
      </c>
      <c r="F49" s="38">
        <v>67</v>
      </c>
      <c r="G49" s="38">
        <v>82</v>
      </c>
      <c r="H49" s="39">
        <f t="shared" si="1"/>
        <v>79</v>
      </c>
      <c r="I49" s="39">
        <f t="shared" si="2"/>
        <v>91</v>
      </c>
      <c r="J49" s="39">
        <f t="shared" si="3"/>
        <v>91</v>
      </c>
      <c r="K49" s="39">
        <f t="shared" si="4"/>
        <v>92.64</v>
      </c>
      <c r="L49" s="39">
        <f t="shared" si="5"/>
        <v>89.71</v>
      </c>
      <c r="M49" s="46"/>
      <c r="N49" s="47"/>
    </row>
    <row r="50" spans="1:14">
      <c r="A50" s="44">
        <v>42</v>
      </c>
      <c r="B50" s="44" t="s">
        <v>64</v>
      </c>
      <c r="C50" s="44" t="s">
        <v>25</v>
      </c>
      <c r="D50" s="44" t="s">
        <v>55</v>
      </c>
      <c r="E50" s="44" t="s">
        <v>108</v>
      </c>
      <c r="F50" s="38">
        <v>67</v>
      </c>
      <c r="G50" s="38">
        <v>88</v>
      </c>
      <c r="H50" s="39">
        <f t="shared" si="1"/>
        <v>83.8</v>
      </c>
      <c r="I50" s="39">
        <f t="shared" si="2"/>
        <v>93</v>
      </c>
      <c r="J50" s="39">
        <f t="shared" si="3"/>
        <v>93</v>
      </c>
      <c r="K50" s="39">
        <f t="shared" si="4"/>
        <v>92.64</v>
      </c>
      <c r="L50" s="39">
        <f t="shared" si="5"/>
        <v>93.14</v>
      </c>
      <c r="M50" s="46"/>
      <c r="N50" s="47"/>
    </row>
    <row r="51" spans="1:14">
      <c r="A51" s="44">
        <v>43</v>
      </c>
      <c r="B51" s="44" t="s">
        <v>64</v>
      </c>
      <c r="C51" s="44" t="s">
        <v>25</v>
      </c>
      <c r="D51" s="44" t="s">
        <v>53</v>
      </c>
      <c r="E51" s="44" t="s">
        <v>111</v>
      </c>
      <c r="F51" s="38">
        <v>49</v>
      </c>
      <c r="G51" s="38">
        <v>84</v>
      </c>
      <c r="H51" s="39">
        <f t="shared" si="1"/>
        <v>77</v>
      </c>
      <c r="I51" s="39">
        <f t="shared" si="2"/>
        <v>89</v>
      </c>
      <c r="J51" s="39">
        <f t="shared" si="3"/>
        <v>89</v>
      </c>
      <c r="K51" s="39">
        <f t="shared" si="4"/>
        <v>89.36</v>
      </c>
      <c r="L51" s="39">
        <f t="shared" si="5"/>
        <v>88.71</v>
      </c>
      <c r="M51" s="46"/>
      <c r="N51" s="47"/>
    </row>
    <row r="52" spans="1:14">
      <c r="A52" s="44">
        <v>44</v>
      </c>
      <c r="B52" s="44" t="s">
        <v>64</v>
      </c>
      <c r="C52" s="44" t="s">
        <v>25</v>
      </c>
      <c r="D52" s="44" t="s">
        <v>53</v>
      </c>
      <c r="E52" s="44" t="s">
        <v>111</v>
      </c>
      <c r="F52" s="38">
        <v>67</v>
      </c>
      <c r="G52" s="38">
        <v>88</v>
      </c>
      <c r="H52" s="39">
        <f t="shared" si="1"/>
        <v>83.8</v>
      </c>
      <c r="I52" s="39">
        <f t="shared" si="2"/>
        <v>92</v>
      </c>
      <c r="J52" s="39">
        <f t="shared" si="3"/>
        <v>92</v>
      </c>
      <c r="K52" s="39">
        <f t="shared" si="4"/>
        <v>92.64</v>
      </c>
      <c r="L52" s="39">
        <f t="shared" si="5"/>
        <v>91</v>
      </c>
      <c r="M52" s="46"/>
      <c r="N52" s="47"/>
    </row>
    <row r="53" spans="1:14">
      <c r="A53" s="44">
        <v>45</v>
      </c>
      <c r="B53" s="44" t="s">
        <v>64</v>
      </c>
      <c r="C53" s="44" t="s">
        <v>25</v>
      </c>
      <c r="D53" s="44" t="s">
        <v>55</v>
      </c>
      <c r="E53" s="44" t="s">
        <v>108</v>
      </c>
      <c r="F53" s="38">
        <v>74</v>
      </c>
      <c r="G53" s="38">
        <v>84</v>
      </c>
      <c r="H53" s="39">
        <f t="shared" si="1"/>
        <v>82</v>
      </c>
      <c r="I53" s="39">
        <f t="shared" si="2"/>
        <v>92</v>
      </c>
      <c r="J53" s="39">
        <f t="shared" si="3"/>
        <v>92</v>
      </c>
      <c r="K53" s="39">
        <f t="shared" si="4"/>
        <v>93.91</v>
      </c>
      <c r="L53" s="39">
        <f t="shared" si="5"/>
        <v>90.86</v>
      </c>
      <c r="M53" s="46"/>
      <c r="N53" s="47"/>
    </row>
    <row r="54" spans="1:14">
      <c r="A54" s="44">
        <v>46</v>
      </c>
      <c r="B54" s="44" t="s">
        <v>64</v>
      </c>
      <c r="C54" s="44" t="s">
        <v>25</v>
      </c>
      <c r="D54" s="44" t="s">
        <v>52</v>
      </c>
      <c r="E54" s="44" t="s">
        <v>112</v>
      </c>
      <c r="F54" s="38">
        <v>74</v>
      </c>
      <c r="G54" s="38">
        <v>84</v>
      </c>
      <c r="H54" s="39">
        <f t="shared" si="1"/>
        <v>82</v>
      </c>
      <c r="I54" s="39">
        <f t="shared" si="2"/>
        <v>90</v>
      </c>
      <c r="J54" s="39">
        <f t="shared" si="3"/>
        <v>90</v>
      </c>
      <c r="K54" s="39">
        <f t="shared" si="4"/>
        <v>93.91</v>
      </c>
      <c r="L54" s="39">
        <f t="shared" si="5"/>
        <v>87.64</v>
      </c>
      <c r="M54" s="46"/>
      <c r="N54" s="47"/>
    </row>
    <row r="55" spans="1:14">
      <c r="A55" s="44">
        <v>47</v>
      </c>
      <c r="B55" s="44" t="s">
        <v>64</v>
      </c>
      <c r="C55" s="44" t="s">
        <v>25</v>
      </c>
      <c r="D55" s="44" t="s">
        <v>55</v>
      </c>
      <c r="E55" s="44" t="s">
        <v>108</v>
      </c>
      <c r="F55" s="38">
        <v>74</v>
      </c>
      <c r="G55" s="38">
        <v>78</v>
      </c>
      <c r="H55" s="39">
        <f t="shared" si="1"/>
        <v>77.2</v>
      </c>
      <c r="I55" s="39">
        <f t="shared" si="2"/>
        <v>90</v>
      </c>
      <c r="J55" s="39">
        <f t="shared" si="3"/>
        <v>90</v>
      </c>
      <c r="K55" s="39">
        <f t="shared" si="4"/>
        <v>93.91</v>
      </c>
      <c r="L55" s="39">
        <f t="shared" si="5"/>
        <v>87.43</v>
      </c>
      <c r="M55" s="46"/>
      <c r="N55" s="47"/>
    </row>
    <row r="56" spans="1:14">
      <c r="A56" s="44">
        <v>48</v>
      </c>
      <c r="B56" s="44" t="s">
        <v>59</v>
      </c>
      <c r="C56" s="44" t="s">
        <v>25</v>
      </c>
      <c r="D56" s="44" t="s">
        <v>51</v>
      </c>
      <c r="E56" s="44" t="s">
        <v>113</v>
      </c>
      <c r="F56" s="38">
        <v>62</v>
      </c>
      <c r="G56" s="38">
        <v>50</v>
      </c>
      <c r="H56" s="39">
        <f t="shared" si="1"/>
        <v>52.4</v>
      </c>
      <c r="I56" s="39">
        <f t="shared" si="2"/>
        <v>75</v>
      </c>
      <c r="J56" s="39">
        <f t="shared" si="3"/>
        <v>75</v>
      </c>
      <c r="K56" s="39">
        <f t="shared" si="4"/>
        <v>84.91</v>
      </c>
      <c r="L56" s="39">
        <f t="shared" si="5"/>
        <v>67.14</v>
      </c>
      <c r="M56" s="46"/>
      <c r="N56" s="47"/>
    </row>
    <row r="57" spans="1:14">
      <c r="A57" s="44">
        <v>49</v>
      </c>
      <c r="B57" s="44" t="s">
        <v>64</v>
      </c>
      <c r="C57" s="44" t="s">
        <v>25</v>
      </c>
      <c r="D57" s="44" t="s">
        <v>55</v>
      </c>
      <c r="E57" s="44" t="s">
        <v>108</v>
      </c>
      <c r="F57" s="38">
        <v>74</v>
      </c>
      <c r="G57" s="38">
        <v>88</v>
      </c>
      <c r="H57" s="39">
        <f t="shared" si="1"/>
        <v>85.2</v>
      </c>
      <c r="I57" s="39">
        <f t="shared" si="2"/>
        <v>93</v>
      </c>
      <c r="J57" s="39">
        <f t="shared" si="3"/>
        <v>93</v>
      </c>
      <c r="K57" s="39">
        <f t="shared" si="4"/>
        <v>93.91</v>
      </c>
      <c r="L57" s="39">
        <f t="shared" si="5"/>
        <v>93.14</v>
      </c>
      <c r="M57" s="46"/>
      <c r="N57" s="47"/>
    </row>
    <row r="58" spans="1:14">
      <c r="A58" s="44">
        <v>50</v>
      </c>
      <c r="B58" s="44" t="s">
        <v>63</v>
      </c>
      <c r="C58" s="44" t="s">
        <v>25</v>
      </c>
      <c r="D58" s="44" t="s">
        <v>54</v>
      </c>
      <c r="E58" s="44" t="s">
        <v>111</v>
      </c>
      <c r="F58" s="38">
        <v>74</v>
      </c>
      <c r="G58" s="38">
        <v>92</v>
      </c>
      <c r="H58" s="39">
        <f t="shared" si="1"/>
        <v>88.4</v>
      </c>
      <c r="I58" s="39">
        <f t="shared" si="2"/>
        <v>94</v>
      </c>
      <c r="J58" s="39">
        <f t="shared" si="3"/>
        <v>94</v>
      </c>
      <c r="K58" s="39">
        <f t="shared" si="4"/>
        <v>92.55</v>
      </c>
      <c r="L58" s="39">
        <f t="shared" si="5"/>
        <v>94.36</v>
      </c>
      <c r="M58" s="46"/>
      <c r="N58" s="47"/>
    </row>
    <row r="59" spans="1:14">
      <c r="A59" s="44">
        <v>51</v>
      </c>
      <c r="B59" s="44" t="s">
        <v>64</v>
      </c>
      <c r="C59" s="44" t="s">
        <v>25</v>
      </c>
      <c r="D59" s="44" t="s">
        <v>54</v>
      </c>
      <c r="E59" s="44" t="s">
        <v>105</v>
      </c>
      <c r="F59" s="38">
        <v>67</v>
      </c>
      <c r="G59" s="38">
        <v>78</v>
      </c>
      <c r="H59" s="38">
        <f t="shared" si="1"/>
        <v>75.8</v>
      </c>
      <c r="I59" s="38">
        <f t="shared" si="2"/>
        <v>89</v>
      </c>
      <c r="J59" s="38">
        <f t="shared" si="3"/>
        <v>89</v>
      </c>
      <c r="K59" s="38">
        <f t="shared" si="4"/>
        <v>92.64</v>
      </c>
      <c r="L59" s="38">
        <f t="shared" si="5"/>
        <v>86.36</v>
      </c>
      <c r="M59" s="46"/>
      <c r="N59" s="47"/>
    </row>
    <row r="60" customFormat="1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4">
    <mergeCell ref="A1:L1"/>
    <mergeCell ref="B2:E2"/>
    <mergeCell ref="F2:H2"/>
    <mergeCell ref="A2:A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workbookViewId="0">
      <selection activeCell="P8" sqref="P8"/>
    </sheetView>
  </sheetViews>
  <sheetFormatPr defaultColWidth="9.14285714285714" defaultRowHeight="16.8"/>
  <cols>
    <col min="2" max="2" width="10.9285714285714"/>
  </cols>
  <sheetData>
    <row r="1" ht="26" spans="1:1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5" t="s">
        <v>0</v>
      </c>
      <c r="B2" s="16" t="s">
        <v>1</v>
      </c>
      <c r="C2" s="17"/>
      <c r="D2" s="17"/>
      <c r="E2" s="18"/>
      <c r="F2" s="16" t="s">
        <v>2</v>
      </c>
      <c r="G2" s="17"/>
      <c r="H2" s="18"/>
      <c r="I2" s="18" t="s">
        <v>3</v>
      </c>
      <c r="J2" s="19" t="s">
        <v>4</v>
      </c>
      <c r="K2" s="19" t="s">
        <v>5</v>
      </c>
      <c r="L2" s="19" t="s">
        <v>6</v>
      </c>
    </row>
    <row r="3" spans="1:12">
      <c r="A3" s="20"/>
      <c r="B3" s="21" t="s">
        <v>7</v>
      </c>
      <c r="C3" s="21" t="s">
        <v>8</v>
      </c>
      <c r="D3" s="21" t="s">
        <v>9</v>
      </c>
      <c r="E3" s="22" t="s">
        <v>10</v>
      </c>
      <c r="F3" s="21" t="s">
        <v>11</v>
      </c>
      <c r="G3" s="21" t="s">
        <v>12</v>
      </c>
      <c r="H3" s="22" t="s">
        <v>13</v>
      </c>
      <c r="I3" s="22"/>
      <c r="J3" s="22" t="s">
        <v>14</v>
      </c>
      <c r="K3" s="23">
        <v>0.44</v>
      </c>
      <c r="L3" s="23">
        <v>0.56</v>
      </c>
    </row>
    <row r="4" spans="1:12">
      <c r="A4" s="24">
        <v>1</v>
      </c>
      <c r="B4" s="25">
        <v>49</v>
      </c>
      <c r="C4" s="25">
        <v>10</v>
      </c>
      <c r="D4" s="25">
        <v>38</v>
      </c>
      <c r="E4" s="25">
        <f t="shared" ref="E4:E67" si="0">SUM(B4:D4)</f>
        <v>97</v>
      </c>
      <c r="F4" s="25">
        <v>60</v>
      </c>
      <c r="G4" s="25">
        <v>54</v>
      </c>
      <c r="H4" s="25">
        <f t="shared" ref="H4:H67" si="1">F4*0.2+G4*0.8</f>
        <v>55.2</v>
      </c>
      <c r="I4" s="25">
        <f t="shared" ref="I4:I67" si="2">ROUND(E4*0.6+H4*0.4,0)</f>
        <v>80</v>
      </c>
      <c r="J4" s="25">
        <f t="shared" ref="J4:J67" si="3">ROUND(K4*0.44+L4*0.56,0)</f>
        <v>80</v>
      </c>
      <c r="K4" s="25">
        <f t="shared" ref="K4:K67" si="4">ROUND(B4/50*100*30/44+C4/10*100*6/44+F4*8/44,2)</f>
        <v>91.36</v>
      </c>
      <c r="L4" s="25">
        <f t="shared" ref="L4:L67" si="5">ROUND(D4/40*100*24/56+G4*32/56,2)</f>
        <v>71.57</v>
      </c>
    </row>
    <row r="5" spans="1:12">
      <c r="A5" s="24">
        <v>2</v>
      </c>
      <c r="B5" s="25">
        <v>36</v>
      </c>
      <c r="C5" s="25">
        <v>1</v>
      </c>
      <c r="D5" s="25">
        <v>0</v>
      </c>
      <c r="E5" s="25">
        <f t="shared" si="0"/>
        <v>37</v>
      </c>
      <c r="F5" s="25">
        <v>70</v>
      </c>
      <c r="G5" s="25">
        <v>40</v>
      </c>
      <c r="H5" s="25">
        <f t="shared" si="1"/>
        <v>46</v>
      </c>
      <c r="I5" s="25">
        <f t="shared" si="2"/>
        <v>41</v>
      </c>
      <c r="J5" s="25">
        <f t="shared" si="3"/>
        <v>41</v>
      </c>
      <c r="K5" s="25">
        <f t="shared" si="4"/>
        <v>63.18</v>
      </c>
      <c r="L5" s="25">
        <f t="shared" si="5"/>
        <v>22.86</v>
      </c>
    </row>
    <row r="6" spans="1:12">
      <c r="A6" s="24">
        <v>3</v>
      </c>
      <c r="B6" s="25">
        <v>30</v>
      </c>
      <c r="C6" s="25">
        <v>6</v>
      </c>
      <c r="D6" s="25">
        <v>24</v>
      </c>
      <c r="E6" s="25">
        <f t="shared" si="0"/>
        <v>60</v>
      </c>
      <c r="F6" s="25">
        <v>60</v>
      </c>
      <c r="G6" s="25">
        <v>68</v>
      </c>
      <c r="H6" s="25">
        <f t="shared" si="1"/>
        <v>66.4</v>
      </c>
      <c r="I6" s="25">
        <f t="shared" si="2"/>
        <v>63</v>
      </c>
      <c r="J6" s="25">
        <f t="shared" si="3"/>
        <v>63</v>
      </c>
      <c r="K6" s="25">
        <f t="shared" si="4"/>
        <v>60</v>
      </c>
      <c r="L6" s="25">
        <f t="shared" si="5"/>
        <v>64.57</v>
      </c>
    </row>
    <row r="7" spans="1:12">
      <c r="A7" s="24">
        <v>4</v>
      </c>
      <c r="B7" s="25">
        <v>49</v>
      </c>
      <c r="C7" s="25">
        <v>10</v>
      </c>
      <c r="D7" s="25">
        <v>35</v>
      </c>
      <c r="E7" s="25">
        <f t="shared" si="0"/>
        <v>94</v>
      </c>
      <c r="F7" s="25">
        <v>70</v>
      </c>
      <c r="G7" s="25">
        <v>68</v>
      </c>
      <c r="H7" s="25">
        <f t="shared" si="1"/>
        <v>68.4</v>
      </c>
      <c r="I7" s="25">
        <f t="shared" si="2"/>
        <v>84</v>
      </c>
      <c r="J7" s="25">
        <f t="shared" si="3"/>
        <v>84</v>
      </c>
      <c r="K7" s="25">
        <f t="shared" si="4"/>
        <v>93.18</v>
      </c>
      <c r="L7" s="25">
        <f t="shared" si="5"/>
        <v>76.36</v>
      </c>
    </row>
    <row r="8" spans="1:12">
      <c r="A8" s="24">
        <v>5</v>
      </c>
      <c r="B8" s="25">
        <v>49</v>
      </c>
      <c r="C8" s="25">
        <v>10</v>
      </c>
      <c r="D8" s="25">
        <v>39</v>
      </c>
      <c r="E8" s="25">
        <f t="shared" si="0"/>
        <v>98</v>
      </c>
      <c r="F8" s="25">
        <v>80</v>
      </c>
      <c r="G8" s="25">
        <v>80</v>
      </c>
      <c r="H8" s="25">
        <f t="shared" si="1"/>
        <v>80</v>
      </c>
      <c r="I8" s="25">
        <f t="shared" si="2"/>
        <v>91</v>
      </c>
      <c r="J8" s="25">
        <f t="shared" si="3"/>
        <v>91</v>
      </c>
      <c r="K8" s="25">
        <f t="shared" si="4"/>
        <v>95</v>
      </c>
      <c r="L8" s="25">
        <f t="shared" si="5"/>
        <v>87.5</v>
      </c>
    </row>
    <row r="9" spans="1:12">
      <c r="A9" s="24">
        <v>6</v>
      </c>
      <c r="B9" s="25">
        <v>49</v>
      </c>
      <c r="C9" s="25">
        <v>10</v>
      </c>
      <c r="D9" s="25">
        <v>40</v>
      </c>
      <c r="E9" s="25">
        <f t="shared" si="0"/>
        <v>99</v>
      </c>
      <c r="F9" s="25">
        <v>70</v>
      </c>
      <c r="G9" s="25">
        <v>52</v>
      </c>
      <c r="H9" s="25">
        <f t="shared" si="1"/>
        <v>55.6</v>
      </c>
      <c r="I9" s="25">
        <f t="shared" si="2"/>
        <v>82</v>
      </c>
      <c r="J9" s="25">
        <f t="shared" si="3"/>
        <v>82</v>
      </c>
      <c r="K9" s="25">
        <f t="shared" si="4"/>
        <v>93.18</v>
      </c>
      <c r="L9" s="25">
        <f t="shared" si="5"/>
        <v>72.57</v>
      </c>
    </row>
    <row r="10" spans="1:12">
      <c r="A10" s="24">
        <v>7</v>
      </c>
      <c r="B10" s="25">
        <v>49</v>
      </c>
      <c r="C10" s="25">
        <v>10</v>
      </c>
      <c r="D10" s="25">
        <v>38</v>
      </c>
      <c r="E10" s="25">
        <f t="shared" si="0"/>
        <v>97</v>
      </c>
      <c r="F10" s="25">
        <v>80</v>
      </c>
      <c r="G10" s="25">
        <v>72</v>
      </c>
      <c r="H10" s="25">
        <f t="shared" si="1"/>
        <v>73.6</v>
      </c>
      <c r="I10" s="25">
        <f t="shared" si="2"/>
        <v>88</v>
      </c>
      <c r="J10" s="25">
        <f t="shared" si="3"/>
        <v>88</v>
      </c>
      <c r="K10" s="25">
        <f t="shared" si="4"/>
        <v>95</v>
      </c>
      <c r="L10" s="25">
        <f t="shared" si="5"/>
        <v>81.86</v>
      </c>
    </row>
    <row r="11" spans="1:12">
      <c r="A11" s="24">
        <v>8</v>
      </c>
      <c r="B11" s="25">
        <v>49</v>
      </c>
      <c r="C11" s="25">
        <v>10</v>
      </c>
      <c r="D11" s="25">
        <v>38</v>
      </c>
      <c r="E11" s="25">
        <f t="shared" si="0"/>
        <v>97</v>
      </c>
      <c r="F11" s="25">
        <v>70</v>
      </c>
      <c r="G11" s="25">
        <v>74</v>
      </c>
      <c r="H11" s="25">
        <f t="shared" si="1"/>
        <v>73.2</v>
      </c>
      <c r="I11" s="25">
        <f t="shared" si="2"/>
        <v>87</v>
      </c>
      <c r="J11" s="25">
        <f t="shared" si="3"/>
        <v>87</v>
      </c>
      <c r="K11" s="25">
        <f t="shared" si="4"/>
        <v>93.18</v>
      </c>
      <c r="L11" s="25">
        <f t="shared" si="5"/>
        <v>83</v>
      </c>
    </row>
    <row r="12" spans="1:12">
      <c r="A12" s="24">
        <v>9</v>
      </c>
      <c r="B12" s="25">
        <v>49</v>
      </c>
      <c r="C12" s="25">
        <v>10</v>
      </c>
      <c r="D12" s="25">
        <v>40</v>
      </c>
      <c r="E12" s="25">
        <f t="shared" si="0"/>
        <v>99</v>
      </c>
      <c r="F12" s="25">
        <v>70</v>
      </c>
      <c r="G12" s="25">
        <v>70</v>
      </c>
      <c r="H12" s="25">
        <f t="shared" si="1"/>
        <v>70</v>
      </c>
      <c r="I12" s="25">
        <f t="shared" si="2"/>
        <v>87</v>
      </c>
      <c r="J12" s="25">
        <f t="shared" si="3"/>
        <v>87</v>
      </c>
      <c r="K12" s="25">
        <f t="shared" si="4"/>
        <v>93.18</v>
      </c>
      <c r="L12" s="25">
        <f t="shared" si="5"/>
        <v>82.86</v>
      </c>
    </row>
    <row r="13" spans="1:12">
      <c r="A13" s="24">
        <v>10</v>
      </c>
      <c r="B13" s="25">
        <v>49</v>
      </c>
      <c r="C13" s="25">
        <v>10</v>
      </c>
      <c r="D13" s="25">
        <v>38</v>
      </c>
      <c r="E13" s="25">
        <f t="shared" si="0"/>
        <v>97</v>
      </c>
      <c r="F13" s="25">
        <v>70</v>
      </c>
      <c r="G13" s="25">
        <v>24</v>
      </c>
      <c r="H13" s="25">
        <f t="shared" si="1"/>
        <v>33.2</v>
      </c>
      <c r="I13" s="25">
        <f t="shared" si="2"/>
        <v>71</v>
      </c>
      <c r="J13" s="25">
        <f t="shared" si="3"/>
        <v>71</v>
      </c>
      <c r="K13" s="25">
        <f t="shared" si="4"/>
        <v>93.18</v>
      </c>
      <c r="L13" s="25">
        <f t="shared" si="5"/>
        <v>54.43</v>
      </c>
    </row>
    <row r="14" spans="1:12">
      <c r="A14" s="24">
        <v>11</v>
      </c>
      <c r="B14" s="25">
        <v>34</v>
      </c>
      <c r="C14" s="25">
        <v>4</v>
      </c>
      <c r="D14" s="25">
        <v>40</v>
      </c>
      <c r="E14" s="25">
        <f t="shared" si="0"/>
        <v>78</v>
      </c>
      <c r="F14" s="25">
        <v>70</v>
      </c>
      <c r="G14" s="25">
        <v>56</v>
      </c>
      <c r="H14" s="25">
        <f t="shared" si="1"/>
        <v>58.8</v>
      </c>
      <c r="I14" s="25">
        <f t="shared" si="2"/>
        <v>70</v>
      </c>
      <c r="J14" s="25">
        <f t="shared" si="3"/>
        <v>70</v>
      </c>
      <c r="K14" s="25">
        <f t="shared" si="4"/>
        <v>64.55</v>
      </c>
      <c r="L14" s="25">
        <f t="shared" si="5"/>
        <v>74.86</v>
      </c>
    </row>
    <row r="15" spans="1:12">
      <c r="A15" s="24">
        <v>12</v>
      </c>
      <c r="B15" s="25">
        <v>49</v>
      </c>
      <c r="C15" s="25">
        <v>10</v>
      </c>
      <c r="D15" s="25">
        <v>39</v>
      </c>
      <c r="E15" s="25">
        <f t="shared" si="0"/>
        <v>98</v>
      </c>
      <c r="F15" s="25">
        <v>70</v>
      </c>
      <c r="G15" s="25">
        <v>80</v>
      </c>
      <c r="H15" s="25">
        <f t="shared" si="1"/>
        <v>78</v>
      </c>
      <c r="I15" s="25">
        <f t="shared" si="2"/>
        <v>90</v>
      </c>
      <c r="J15" s="25">
        <f t="shared" si="3"/>
        <v>90</v>
      </c>
      <c r="K15" s="25">
        <f t="shared" si="4"/>
        <v>93.18</v>
      </c>
      <c r="L15" s="25">
        <f t="shared" si="5"/>
        <v>87.5</v>
      </c>
    </row>
    <row r="16" spans="1:12">
      <c r="A16" s="24">
        <v>13</v>
      </c>
      <c r="B16" s="25">
        <v>49</v>
      </c>
      <c r="C16" s="25">
        <v>10</v>
      </c>
      <c r="D16" s="25">
        <v>40</v>
      </c>
      <c r="E16" s="25">
        <f t="shared" si="0"/>
        <v>99</v>
      </c>
      <c r="F16" s="25">
        <v>70</v>
      </c>
      <c r="G16" s="25">
        <v>44</v>
      </c>
      <c r="H16" s="25">
        <f t="shared" si="1"/>
        <v>49.2</v>
      </c>
      <c r="I16" s="25">
        <f t="shared" si="2"/>
        <v>79</v>
      </c>
      <c r="J16" s="25">
        <f t="shared" si="3"/>
        <v>79</v>
      </c>
      <c r="K16" s="25">
        <f t="shared" si="4"/>
        <v>93.18</v>
      </c>
      <c r="L16" s="25">
        <f t="shared" si="5"/>
        <v>68</v>
      </c>
    </row>
    <row r="17" spans="1:12">
      <c r="A17" s="24">
        <v>14</v>
      </c>
      <c r="B17" s="25">
        <v>49</v>
      </c>
      <c r="C17" s="25">
        <v>10</v>
      </c>
      <c r="D17" s="25">
        <v>40</v>
      </c>
      <c r="E17" s="25">
        <f t="shared" si="0"/>
        <v>99</v>
      </c>
      <c r="F17" s="25">
        <v>70</v>
      </c>
      <c r="G17" s="25">
        <v>76</v>
      </c>
      <c r="H17" s="25">
        <f t="shared" si="1"/>
        <v>74.8</v>
      </c>
      <c r="I17" s="25">
        <f t="shared" si="2"/>
        <v>89</v>
      </c>
      <c r="J17" s="25">
        <f t="shared" si="3"/>
        <v>89</v>
      </c>
      <c r="K17" s="25">
        <f t="shared" si="4"/>
        <v>93.18</v>
      </c>
      <c r="L17" s="25">
        <f t="shared" si="5"/>
        <v>86.29</v>
      </c>
    </row>
    <row r="18" spans="1:12">
      <c r="A18" s="24">
        <v>15</v>
      </c>
      <c r="B18" s="25">
        <v>49</v>
      </c>
      <c r="C18" s="25">
        <v>10</v>
      </c>
      <c r="D18" s="25">
        <v>40</v>
      </c>
      <c r="E18" s="25">
        <f t="shared" si="0"/>
        <v>99</v>
      </c>
      <c r="F18" s="25">
        <v>70</v>
      </c>
      <c r="G18" s="25">
        <v>74</v>
      </c>
      <c r="H18" s="25">
        <f t="shared" si="1"/>
        <v>73.2</v>
      </c>
      <c r="I18" s="25">
        <f t="shared" si="2"/>
        <v>89</v>
      </c>
      <c r="J18" s="25">
        <f t="shared" si="3"/>
        <v>89</v>
      </c>
      <c r="K18" s="25">
        <f t="shared" si="4"/>
        <v>93.18</v>
      </c>
      <c r="L18" s="25">
        <f t="shared" si="5"/>
        <v>85.14</v>
      </c>
    </row>
    <row r="19" spans="1:12">
      <c r="A19" s="24">
        <v>16</v>
      </c>
      <c r="B19" s="25">
        <v>49</v>
      </c>
      <c r="C19" s="25">
        <v>10</v>
      </c>
      <c r="D19" s="25">
        <v>40</v>
      </c>
      <c r="E19" s="25">
        <f t="shared" si="0"/>
        <v>99</v>
      </c>
      <c r="F19" s="25">
        <v>80</v>
      </c>
      <c r="G19" s="25">
        <v>86</v>
      </c>
      <c r="H19" s="25">
        <f t="shared" si="1"/>
        <v>84.8</v>
      </c>
      <c r="I19" s="25">
        <f t="shared" si="2"/>
        <v>93</v>
      </c>
      <c r="J19" s="25">
        <f t="shared" si="3"/>
        <v>93</v>
      </c>
      <c r="K19" s="25">
        <f t="shared" si="4"/>
        <v>95</v>
      </c>
      <c r="L19" s="25">
        <f t="shared" si="5"/>
        <v>92</v>
      </c>
    </row>
    <row r="20" spans="1:12">
      <c r="A20" s="24">
        <v>17</v>
      </c>
      <c r="B20" s="25">
        <v>33</v>
      </c>
      <c r="C20" s="25">
        <v>5</v>
      </c>
      <c r="D20" s="25">
        <v>38</v>
      </c>
      <c r="E20" s="25">
        <f t="shared" si="0"/>
        <v>76</v>
      </c>
      <c r="F20" s="25">
        <v>70</v>
      </c>
      <c r="G20" s="25">
        <v>76</v>
      </c>
      <c r="H20" s="25">
        <f t="shared" si="1"/>
        <v>74.8</v>
      </c>
      <c r="I20" s="25">
        <f t="shared" si="2"/>
        <v>76</v>
      </c>
      <c r="J20" s="25">
        <f t="shared" si="3"/>
        <v>76</v>
      </c>
      <c r="K20" s="25">
        <f t="shared" si="4"/>
        <v>64.55</v>
      </c>
      <c r="L20" s="25">
        <f t="shared" si="5"/>
        <v>84.14</v>
      </c>
    </row>
    <row r="21" spans="1:12">
      <c r="A21" s="24">
        <v>18</v>
      </c>
      <c r="B21" s="25">
        <v>49</v>
      </c>
      <c r="C21" s="25">
        <v>10</v>
      </c>
      <c r="D21" s="25">
        <v>40</v>
      </c>
      <c r="E21" s="25">
        <f t="shared" si="0"/>
        <v>99</v>
      </c>
      <c r="F21" s="25">
        <v>80</v>
      </c>
      <c r="G21" s="25">
        <v>48</v>
      </c>
      <c r="H21" s="25">
        <f t="shared" si="1"/>
        <v>54.4</v>
      </c>
      <c r="I21" s="25">
        <f t="shared" si="2"/>
        <v>81</v>
      </c>
      <c r="J21" s="25">
        <f t="shared" si="3"/>
        <v>81</v>
      </c>
      <c r="K21" s="25">
        <f t="shared" si="4"/>
        <v>95</v>
      </c>
      <c r="L21" s="25">
        <f t="shared" si="5"/>
        <v>70.29</v>
      </c>
    </row>
    <row r="22" spans="1:12">
      <c r="A22" s="24">
        <v>19</v>
      </c>
      <c r="B22" s="25">
        <v>49</v>
      </c>
      <c r="C22" s="25">
        <v>10</v>
      </c>
      <c r="D22" s="25">
        <v>38</v>
      </c>
      <c r="E22" s="25">
        <f t="shared" si="0"/>
        <v>97</v>
      </c>
      <c r="F22" s="25">
        <v>90</v>
      </c>
      <c r="G22" s="25">
        <v>38</v>
      </c>
      <c r="H22" s="25">
        <f t="shared" si="1"/>
        <v>48.4</v>
      </c>
      <c r="I22" s="25">
        <f t="shared" si="2"/>
        <v>78</v>
      </c>
      <c r="J22" s="25">
        <f t="shared" si="3"/>
        <v>78</v>
      </c>
      <c r="K22" s="25">
        <f t="shared" si="4"/>
        <v>96.82</v>
      </c>
      <c r="L22" s="25">
        <f t="shared" si="5"/>
        <v>62.43</v>
      </c>
    </row>
    <row r="23" spans="1:12">
      <c r="A23" s="24">
        <v>20</v>
      </c>
      <c r="B23" s="25">
        <v>49</v>
      </c>
      <c r="C23" s="25">
        <v>9</v>
      </c>
      <c r="D23" s="25">
        <v>39</v>
      </c>
      <c r="E23" s="25">
        <f t="shared" si="0"/>
        <v>97</v>
      </c>
      <c r="F23" s="25">
        <v>70</v>
      </c>
      <c r="G23" s="25">
        <v>80</v>
      </c>
      <c r="H23" s="25">
        <f t="shared" si="1"/>
        <v>78</v>
      </c>
      <c r="I23" s="25">
        <f t="shared" si="2"/>
        <v>89</v>
      </c>
      <c r="J23" s="25">
        <f t="shared" si="3"/>
        <v>89</v>
      </c>
      <c r="K23" s="25">
        <f t="shared" si="4"/>
        <v>91.82</v>
      </c>
      <c r="L23" s="25">
        <f t="shared" si="5"/>
        <v>87.5</v>
      </c>
    </row>
    <row r="24" spans="1:12">
      <c r="A24" s="24">
        <v>21</v>
      </c>
      <c r="B24" s="25">
        <v>49</v>
      </c>
      <c r="C24" s="25">
        <v>10</v>
      </c>
      <c r="D24" s="25">
        <v>38</v>
      </c>
      <c r="E24" s="25">
        <f t="shared" si="0"/>
        <v>97</v>
      </c>
      <c r="F24" s="25">
        <v>80</v>
      </c>
      <c r="G24" s="25">
        <v>72</v>
      </c>
      <c r="H24" s="25">
        <f t="shared" si="1"/>
        <v>73.6</v>
      </c>
      <c r="I24" s="25">
        <f t="shared" si="2"/>
        <v>88</v>
      </c>
      <c r="J24" s="25">
        <f t="shared" si="3"/>
        <v>88</v>
      </c>
      <c r="K24" s="25">
        <f t="shared" si="4"/>
        <v>95</v>
      </c>
      <c r="L24" s="25">
        <f t="shared" si="5"/>
        <v>81.86</v>
      </c>
    </row>
    <row r="25" spans="1:12">
      <c r="A25" s="24">
        <v>22</v>
      </c>
      <c r="B25" s="25">
        <v>49</v>
      </c>
      <c r="C25" s="25">
        <v>10</v>
      </c>
      <c r="D25" s="25">
        <v>38</v>
      </c>
      <c r="E25" s="25">
        <f t="shared" si="0"/>
        <v>97</v>
      </c>
      <c r="F25" s="25">
        <v>70</v>
      </c>
      <c r="G25" s="25">
        <v>84</v>
      </c>
      <c r="H25" s="25">
        <f t="shared" si="1"/>
        <v>81.2</v>
      </c>
      <c r="I25" s="25">
        <f t="shared" si="2"/>
        <v>91</v>
      </c>
      <c r="J25" s="25">
        <f t="shared" si="3"/>
        <v>91</v>
      </c>
      <c r="K25" s="25">
        <f t="shared" si="4"/>
        <v>93.18</v>
      </c>
      <c r="L25" s="25">
        <f t="shared" si="5"/>
        <v>88.71</v>
      </c>
    </row>
    <row r="26" spans="1:12">
      <c r="A26" s="24">
        <v>23</v>
      </c>
      <c r="B26" s="25">
        <v>49</v>
      </c>
      <c r="C26" s="25">
        <v>10</v>
      </c>
      <c r="D26" s="25">
        <v>39</v>
      </c>
      <c r="E26" s="25">
        <f t="shared" si="0"/>
        <v>98</v>
      </c>
      <c r="F26" s="25">
        <v>0</v>
      </c>
      <c r="G26" s="25">
        <v>40</v>
      </c>
      <c r="H26" s="25">
        <f t="shared" si="1"/>
        <v>32</v>
      </c>
      <c r="I26" s="25">
        <f t="shared" si="2"/>
        <v>72</v>
      </c>
      <c r="J26" s="25">
        <f t="shared" si="3"/>
        <v>72</v>
      </c>
      <c r="K26" s="25">
        <f t="shared" si="4"/>
        <v>80.45</v>
      </c>
      <c r="L26" s="25">
        <f t="shared" si="5"/>
        <v>64.64</v>
      </c>
    </row>
    <row r="27" spans="1:12">
      <c r="A27" s="24">
        <v>24</v>
      </c>
      <c r="B27" s="25">
        <v>49</v>
      </c>
      <c r="C27" s="25">
        <v>10</v>
      </c>
      <c r="D27" s="25">
        <v>39</v>
      </c>
      <c r="E27" s="25">
        <f t="shared" si="0"/>
        <v>98</v>
      </c>
      <c r="F27" s="25">
        <v>60</v>
      </c>
      <c r="G27" s="25">
        <v>44</v>
      </c>
      <c r="H27" s="25">
        <f t="shared" si="1"/>
        <v>47.2</v>
      </c>
      <c r="I27" s="25">
        <f t="shared" si="2"/>
        <v>78</v>
      </c>
      <c r="J27" s="25">
        <f t="shared" si="3"/>
        <v>78</v>
      </c>
      <c r="K27" s="25">
        <f t="shared" si="4"/>
        <v>91.36</v>
      </c>
      <c r="L27" s="25">
        <f t="shared" si="5"/>
        <v>66.93</v>
      </c>
    </row>
    <row r="28" spans="1:12">
      <c r="A28" s="24">
        <v>25</v>
      </c>
      <c r="B28" s="25">
        <v>48</v>
      </c>
      <c r="C28" s="25">
        <v>10</v>
      </c>
      <c r="D28" s="25">
        <v>39</v>
      </c>
      <c r="E28" s="25">
        <f t="shared" si="0"/>
        <v>97</v>
      </c>
      <c r="F28" s="25">
        <v>70</v>
      </c>
      <c r="G28" s="25">
        <v>82</v>
      </c>
      <c r="H28" s="25">
        <f t="shared" si="1"/>
        <v>79.6</v>
      </c>
      <c r="I28" s="25">
        <f t="shared" si="2"/>
        <v>90</v>
      </c>
      <c r="J28" s="25">
        <f t="shared" si="3"/>
        <v>90</v>
      </c>
      <c r="K28" s="25">
        <f t="shared" si="4"/>
        <v>91.82</v>
      </c>
      <c r="L28" s="25">
        <f t="shared" si="5"/>
        <v>88.64</v>
      </c>
    </row>
    <row r="29" spans="1:12">
      <c r="A29" s="24">
        <v>26</v>
      </c>
      <c r="B29" s="25">
        <v>44</v>
      </c>
      <c r="C29" s="25">
        <v>9</v>
      </c>
      <c r="D29" s="25">
        <v>39</v>
      </c>
      <c r="E29" s="25">
        <f t="shared" si="0"/>
        <v>92</v>
      </c>
      <c r="F29" s="25">
        <v>70</v>
      </c>
      <c r="G29" s="25">
        <v>56</v>
      </c>
      <c r="H29" s="25">
        <f t="shared" si="1"/>
        <v>58.8</v>
      </c>
      <c r="I29" s="25">
        <f t="shared" si="2"/>
        <v>79</v>
      </c>
      <c r="J29" s="25">
        <f t="shared" si="3"/>
        <v>79</v>
      </c>
      <c r="K29" s="25">
        <f t="shared" si="4"/>
        <v>85</v>
      </c>
      <c r="L29" s="25">
        <f t="shared" si="5"/>
        <v>73.79</v>
      </c>
    </row>
    <row r="30" spans="1:12">
      <c r="A30" s="24">
        <v>27</v>
      </c>
      <c r="B30" s="25">
        <v>49</v>
      </c>
      <c r="C30" s="25">
        <v>10</v>
      </c>
      <c r="D30" s="25">
        <v>38</v>
      </c>
      <c r="E30" s="25">
        <f t="shared" si="0"/>
        <v>97</v>
      </c>
      <c r="F30" s="25">
        <v>70</v>
      </c>
      <c r="G30" s="25">
        <v>84</v>
      </c>
      <c r="H30" s="25">
        <f t="shared" si="1"/>
        <v>81.2</v>
      </c>
      <c r="I30" s="25">
        <f t="shared" si="2"/>
        <v>91</v>
      </c>
      <c r="J30" s="25">
        <f t="shared" si="3"/>
        <v>91</v>
      </c>
      <c r="K30" s="25">
        <f t="shared" si="4"/>
        <v>93.18</v>
      </c>
      <c r="L30" s="25">
        <f t="shared" si="5"/>
        <v>88.71</v>
      </c>
    </row>
    <row r="31" spans="1:12">
      <c r="A31" s="24">
        <v>28</v>
      </c>
      <c r="B31" s="25">
        <v>49</v>
      </c>
      <c r="C31" s="25">
        <v>10</v>
      </c>
      <c r="D31" s="25">
        <v>38</v>
      </c>
      <c r="E31" s="25">
        <f t="shared" si="0"/>
        <v>97</v>
      </c>
      <c r="F31" s="25">
        <v>70</v>
      </c>
      <c r="G31" s="25">
        <v>68</v>
      </c>
      <c r="H31" s="25">
        <f t="shared" si="1"/>
        <v>68.4</v>
      </c>
      <c r="I31" s="25">
        <f t="shared" si="2"/>
        <v>86</v>
      </c>
      <c r="J31" s="25">
        <f t="shared" si="3"/>
        <v>86</v>
      </c>
      <c r="K31" s="25">
        <f t="shared" si="4"/>
        <v>93.18</v>
      </c>
      <c r="L31" s="25">
        <f t="shared" si="5"/>
        <v>79.57</v>
      </c>
    </row>
    <row r="32" spans="1:12">
      <c r="A32" s="24">
        <v>29</v>
      </c>
      <c r="B32" s="25">
        <v>39</v>
      </c>
      <c r="C32" s="25">
        <v>10</v>
      </c>
      <c r="D32" s="25">
        <v>40</v>
      </c>
      <c r="E32" s="25">
        <f t="shared" si="0"/>
        <v>89</v>
      </c>
      <c r="F32" s="25">
        <v>70</v>
      </c>
      <c r="G32" s="25">
        <v>82</v>
      </c>
      <c r="H32" s="25">
        <f t="shared" si="1"/>
        <v>79.6</v>
      </c>
      <c r="I32" s="25">
        <f t="shared" si="2"/>
        <v>85</v>
      </c>
      <c r="J32" s="25">
        <f t="shared" si="3"/>
        <v>85</v>
      </c>
      <c r="K32" s="25">
        <f t="shared" si="4"/>
        <v>79.55</v>
      </c>
      <c r="L32" s="25">
        <f t="shared" si="5"/>
        <v>89.71</v>
      </c>
    </row>
    <row r="33" spans="1:12">
      <c r="A33" s="24">
        <v>30</v>
      </c>
      <c r="B33" s="25">
        <v>41</v>
      </c>
      <c r="C33" s="25">
        <v>10</v>
      </c>
      <c r="D33" s="25">
        <v>39</v>
      </c>
      <c r="E33" s="25">
        <f t="shared" si="0"/>
        <v>90</v>
      </c>
      <c r="F33" s="25">
        <v>70</v>
      </c>
      <c r="G33" s="25">
        <v>62</v>
      </c>
      <c r="H33" s="25">
        <f t="shared" si="1"/>
        <v>63.6</v>
      </c>
      <c r="I33" s="25">
        <f t="shared" si="2"/>
        <v>79</v>
      </c>
      <c r="J33" s="25">
        <f t="shared" si="3"/>
        <v>79</v>
      </c>
      <c r="K33" s="25">
        <f t="shared" si="4"/>
        <v>82.27</v>
      </c>
      <c r="L33" s="25">
        <f t="shared" si="5"/>
        <v>77.21</v>
      </c>
    </row>
    <row r="34" spans="1:12">
      <c r="A34" s="24">
        <v>31</v>
      </c>
      <c r="B34" s="25">
        <v>49</v>
      </c>
      <c r="C34" s="25">
        <v>10</v>
      </c>
      <c r="D34" s="25">
        <v>40</v>
      </c>
      <c r="E34" s="25">
        <f t="shared" si="0"/>
        <v>99</v>
      </c>
      <c r="F34" s="25">
        <v>80</v>
      </c>
      <c r="G34" s="25">
        <v>54</v>
      </c>
      <c r="H34" s="25">
        <f t="shared" si="1"/>
        <v>59.2</v>
      </c>
      <c r="I34" s="25">
        <f t="shared" si="2"/>
        <v>83</v>
      </c>
      <c r="J34" s="25">
        <f t="shared" si="3"/>
        <v>83</v>
      </c>
      <c r="K34" s="25">
        <f t="shared" si="4"/>
        <v>95</v>
      </c>
      <c r="L34" s="25">
        <f t="shared" si="5"/>
        <v>73.71</v>
      </c>
    </row>
    <row r="35" spans="1:12">
      <c r="A35" s="24">
        <v>32</v>
      </c>
      <c r="B35" s="25">
        <v>49</v>
      </c>
      <c r="C35" s="25">
        <v>10</v>
      </c>
      <c r="D35" s="25">
        <v>38</v>
      </c>
      <c r="E35" s="25">
        <f t="shared" si="0"/>
        <v>97</v>
      </c>
      <c r="F35" s="25">
        <v>70</v>
      </c>
      <c r="G35" s="25">
        <v>42</v>
      </c>
      <c r="H35" s="25">
        <f t="shared" si="1"/>
        <v>47.6</v>
      </c>
      <c r="I35" s="25">
        <f t="shared" si="2"/>
        <v>77</v>
      </c>
      <c r="J35" s="25">
        <f t="shared" si="3"/>
        <v>77</v>
      </c>
      <c r="K35" s="25">
        <f t="shared" si="4"/>
        <v>93.18</v>
      </c>
      <c r="L35" s="25">
        <f t="shared" si="5"/>
        <v>64.71</v>
      </c>
    </row>
    <row r="36" spans="1:12">
      <c r="A36" s="24">
        <v>33</v>
      </c>
      <c r="B36" s="25">
        <v>30</v>
      </c>
      <c r="C36" s="25">
        <v>6</v>
      </c>
      <c r="D36" s="25">
        <v>24</v>
      </c>
      <c r="E36" s="25">
        <f t="shared" si="0"/>
        <v>60</v>
      </c>
      <c r="F36" s="25">
        <v>60</v>
      </c>
      <c r="G36" s="25">
        <v>0</v>
      </c>
      <c r="H36" s="25">
        <f t="shared" si="1"/>
        <v>12</v>
      </c>
      <c r="I36" s="25">
        <f t="shared" si="2"/>
        <v>41</v>
      </c>
      <c r="J36" s="25">
        <f t="shared" si="3"/>
        <v>41</v>
      </c>
      <c r="K36" s="25">
        <f t="shared" si="4"/>
        <v>60</v>
      </c>
      <c r="L36" s="25">
        <f t="shared" si="5"/>
        <v>25.71</v>
      </c>
    </row>
    <row r="37" spans="1:12">
      <c r="A37" s="24">
        <v>34</v>
      </c>
      <c r="B37" s="25">
        <v>24</v>
      </c>
      <c r="C37" s="25">
        <v>8</v>
      </c>
      <c r="D37" s="25">
        <v>40</v>
      </c>
      <c r="E37" s="25">
        <f t="shared" si="0"/>
        <v>72</v>
      </c>
      <c r="F37" s="25">
        <v>0</v>
      </c>
      <c r="G37" s="25">
        <v>54</v>
      </c>
      <c r="H37" s="25">
        <f t="shared" si="1"/>
        <v>43.2</v>
      </c>
      <c r="I37" s="25">
        <f t="shared" si="2"/>
        <v>60</v>
      </c>
      <c r="J37" s="25">
        <f t="shared" si="3"/>
        <v>60</v>
      </c>
      <c r="K37" s="25">
        <f t="shared" si="4"/>
        <v>43.64</v>
      </c>
      <c r="L37" s="25">
        <f t="shared" si="5"/>
        <v>73.71</v>
      </c>
    </row>
    <row r="38" spans="1:12">
      <c r="A38" s="24">
        <v>35</v>
      </c>
      <c r="B38" s="25">
        <v>49</v>
      </c>
      <c r="C38" s="25">
        <v>10</v>
      </c>
      <c r="D38" s="25">
        <v>39</v>
      </c>
      <c r="E38" s="25">
        <f t="shared" si="0"/>
        <v>98</v>
      </c>
      <c r="F38" s="25">
        <v>70</v>
      </c>
      <c r="G38" s="25">
        <v>48</v>
      </c>
      <c r="H38" s="25">
        <f t="shared" si="1"/>
        <v>52.4</v>
      </c>
      <c r="I38" s="25">
        <f t="shared" si="2"/>
        <v>80</v>
      </c>
      <c r="J38" s="25">
        <f t="shared" si="3"/>
        <v>80</v>
      </c>
      <c r="K38" s="25">
        <f t="shared" si="4"/>
        <v>93.18</v>
      </c>
      <c r="L38" s="25">
        <f t="shared" si="5"/>
        <v>69.21</v>
      </c>
    </row>
    <row r="39" spans="1:12">
      <c r="A39" s="24">
        <v>36</v>
      </c>
      <c r="B39" s="25">
        <v>33</v>
      </c>
      <c r="C39" s="25">
        <v>9</v>
      </c>
      <c r="D39" s="25">
        <v>32</v>
      </c>
      <c r="E39" s="25">
        <f t="shared" si="0"/>
        <v>74</v>
      </c>
      <c r="F39" s="25">
        <v>80</v>
      </c>
      <c r="G39" s="25">
        <v>54</v>
      </c>
      <c r="H39" s="25">
        <f t="shared" si="1"/>
        <v>59.2</v>
      </c>
      <c r="I39" s="25">
        <f t="shared" si="2"/>
        <v>68</v>
      </c>
      <c r="J39" s="25">
        <f t="shared" si="3"/>
        <v>68</v>
      </c>
      <c r="K39" s="25">
        <f t="shared" si="4"/>
        <v>71.82</v>
      </c>
      <c r="L39" s="25">
        <f t="shared" si="5"/>
        <v>65.14</v>
      </c>
    </row>
    <row r="40" spans="1:12">
      <c r="A40" s="24">
        <v>37</v>
      </c>
      <c r="B40" s="25">
        <v>49</v>
      </c>
      <c r="C40" s="25">
        <v>10</v>
      </c>
      <c r="D40" s="25">
        <v>34</v>
      </c>
      <c r="E40" s="25">
        <f t="shared" si="0"/>
        <v>93</v>
      </c>
      <c r="F40" s="25">
        <v>60</v>
      </c>
      <c r="G40" s="25">
        <v>60</v>
      </c>
      <c r="H40" s="25">
        <f t="shared" si="1"/>
        <v>60</v>
      </c>
      <c r="I40" s="25">
        <f t="shared" si="2"/>
        <v>80</v>
      </c>
      <c r="J40" s="25">
        <f t="shared" si="3"/>
        <v>80</v>
      </c>
      <c r="K40" s="25">
        <f t="shared" si="4"/>
        <v>91.36</v>
      </c>
      <c r="L40" s="25">
        <f t="shared" si="5"/>
        <v>70.71</v>
      </c>
    </row>
    <row r="41" spans="1:12">
      <c r="A41" s="24">
        <v>38</v>
      </c>
      <c r="B41" s="25">
        <v>49</v>
      </c>
      <c r="C41" s="25">
        <v>10</v>
      </c>
      <c r="D41" s="25">
        <v>40</v>
      </c>
      <c r="E41" s="25">
        <f t="shared" si="0"/>
        <v>99</v>
      </c>
      <c r="F41" s="25">
        <v>90</v>
      </c>
      <c r="G41" s="25">
        <v>42</v>
      </c>
      <c r="H41" s="25">
        <f t="shared" si="1"/>
        <v>51.6</v>
      </c>
      <c r="I41" s="25">
        <f t="shared" si="2"/>
        <v>80</v>
      </c>
      <c r="J41" s="25">
        <f t="shared" si="3"/>
        <v>80</v>
      </c>
      <c r="K41" s="25">
        <f t="shared" si="4"/>
        <v>96.82</v>
      </c>
      <c r="L41" s="25">
        <f t="shared" si="5"/>
        <v>66.86</v>
      </c>
    </row>
    <row r="42" spans="1:12">
      <c r="A42" s="24">
        <v>39</v>
      </c>
      <c r="B42" s="25">
        <v>49</v>
      </c>
      <c r="C42" s="25">
        <v>10</v>
      </c>
      <c r="D42" s="25">
        <v>40</v>
      </c>
      <c r="E42" s="25">
        <f t="shared" si="0"/>
        <v>99</v>
      </c>
      <c r="F42" s="25">
        <v>90</v>
      </c>
      <c r="G42" s="25">
        <v>44</v>
      </c>
      <c r="H42" s="25">
        <f t="shared" si="1"/>
        <v>53.2</v>
      </c>
      <c r="I42" s="25">
        <f t="shared" si="2"/>
        <v>81</v>
      </c>
      <c r="J42" s="25">
        <f t="shared" si="3"/>
        <v>81</v>
      </c>
      <c r="K42" s="25">
        <f t="shared" si="4"/>
        <v>96.82</v>
      </c>
      <c r="L42" s="25">
        <f t="shared" si="5"/>
        <v>68</v>
      </c>
    </row>
    <row r="43" spans="1:12">
      <c r="A43" s="24">
        <v>40</v>
      </c>
      <c r="B43" s="25">
        <v>49</v>
      </c>
      <c r="C43" s="25">
        <v>10</v>
      </c>
      <c r="D43" s="25">
        <v>40</v>
      </c>
      <c r="E43" s="25">
        <f t="shared" si="0"/>
        <v>99</v>
      </c>
      <c r="F43" s="25">
        <v>90</v>
      </c>
      <c r="G43" s="25">
        <v>58</v>
      </c>
      <c r="H43" s="25">
        <f t="shared" si="1"/>
        <v>64.4</v>
      </c>
      <c r="I43" s="25">
        <f t="shared" si="2"/>
        <v>85</v>
      </c>
      <c r="J43" s="25">
        <f t="shared" si="3"/>
        <v>85</v>
      </c>
      <c r="K43" s="25">
        <f t="shared" si="4"/>
        <v>96.82</v>
      </c>
      <c r="L43" s="25">
        <f t="shared" si="5"/>
        <v>76</v>
      </c>
    </row>
    <row r="44" spans="1:12">
      <c r="A44" s="24">
        <v>41</v>
      </c>
      <c r="B44" s="25">
        <v>49</v>
      </c>
      <c r="C44" s="25">
        <v>10</v>
      </c>
      <c r="D44" s="25">
        <v>40</v>
      </c>
      <c r="E44" s="25">
        <f t="shared" si="0"/>
        <v>99</v>
      </c>
      <c r="F44" s="25">
        <v>90</v>
      </c>
      <c r="G44" s="25">
        <v>68</v>
      </c>
      <c r="H44" s="25">
        <f t="shared" si="1"/>
        <v>72.4</v>
      </c>
      <c r="I44" s="25">
        <f t="shared" si="2"/>
        <v>88</v>
      </c>
      <c r="J44" s="25">
        <f t="shared" si="3"/>
        <v>88</v>
      </c>
      <c r="K44" s="25">
        <f t="shared" si="4"/>
        <v>96.82</v>
      </c>
      <c r="L44" s="25">
        <f t="shared" si="5"/>
        <v>81.71</v>
      </c>
    </row>
    <row r="45" spans="1:12">
      <c r="A45" s="24">
        <v>42</v>
      </c>
      <c r="B45" s="25">
        <v>49</v>
      </c>
      <c r="C45" s="25">
        <v>10</v>
      </c>
      <c r="D45" s="25">
        <v>40</v>
      </c>
      <c r="E45" s="25">
        <f t="shared" si="0"/>
        <v>99</v>
      </c>
      <c r="F45" s="25">
        <v>90</v>
      </c>
      <c r="G45" s="25">
        <v>86</v>
      </c>
      <c r="H45" s="25">
        <f t="shared" si="1"/>
        <v>86.8</v>
      </c>
      <c r="I45" s="25">
        <f t="shared" si="2"/>
        <v>94</v>
      </c>
      <c r="J45" s="25">
        <f t="shared" si="3"/>
        <v>94</v>
      </c>
      <c r="K45" s="25">
        <f t="shared" si="4"/>
        <v>96.82</v>
      </c>
      <c r="L45" s="25">
        <f t="shared" si="5"/>
        <v>92</v>
      </c>
    </row>
    <row r="46" spans="1:12">
      <c r="A46" s="24">
        <v>43</v>
      </c>
      <c r="B46" s="25">
        <v>49</v>
      </c>
      <c r="C46" s="25">
        <v>10</v>
      </c>
      <c r="D46" s="25">
        <v>40</v>
      </c>
      <c r="E46" s="25">
        <f t="shared" si="0"/>
        <v>99</v>
      </c>
      <c r="F46" s="25">
        <v>80</v>
      </c>
      <c r="G46" s="25">
        <v>62</v>
      </c>
      <c r="H46" s="25">
        <f t="shared" si="1"/>
        <v>65.6</v>
      </c>
      <c r="I46" s="25">
        <f t="shared" si="2"/>
        <v>86</v>
      </c>
      <c r="J46" s="25">
        <f t="shared" si="3"/>
        <v>86</v>
      </c>
      <c r="K46" s="25">
        <f t="shared" si="4"/>
        <v>95</v>
      </c>
      <c r="L46" s="25">
        <f t="shared" si="5"/>
        <v>78.29</v>
      </c>
    </row>
    <row r="47" spans="1:12">
      <c r="A47" s="24">
        <v>44</v>
      </c>
      <c r="B47" s="25">
        <v>40</v>
      </c>
      <c r="C47" s="25">
        <v>8</v>
      </c>
      <c r="D47" s="25">
        <v>39</v>
      </c>
      <c r="E47" s="25">
        <f t="shared" si="0"/>
        <v>87</v>
      </c>
      <c r="F47" s="25">
        <v>70</v>
      </c>
      <c r="G47" s="25">
        <v>60</v>
      </c>
      <c r="H47" s="25">
        <f t="shared" si="1"/>
        <v>62</v>
      </c>
      <c r="I47" s="25">
        <f t="shared" si="2"/>
        <v>77</v>
      </c>
      <c r="J47" s="25">
        <f t="shared" si="3"/>
        <v>77</v>
      </c>
      <c r="K47" s="25">
        <f t="shared" si="4"/>
        <v>78.18</v>
      </c>
      <c r="L47" s="25">
        <f t="shared" si="5"/>
        <v>76.07</v>
      </c>
    </row>
    <row r="48" spans="1:12">
      <c r="A48" s="24">
        <v>45</v>
      </c>
      <c r="B48" s="25">
        <v>49</v>
      </c>
      <c r="C48" s="25">
        <v>10</v>
      </c>
      <c r="D48" s="25">
        <v>40</v>
      </c>
      <c r="E48" s="25">
        <f t="shared" si="0"/>
        <v>99</v>
      </c>
      <c r="F48" s="25">
        <v>80</v>
      </c>
      <c r="G48" s="25">
        <v>60</v>
      </c>
      <c r="H48" s="25">
        <f t="shared" si="1"/>
        <v>64</v>
      </c>
      <c r="I48" s="25">
        <f t="shared" si="2"/>
        <v>85</v>
      </c>
      <c r="J48" s="25">
        <f t="shared" si="3"/>
        <v>85</v>
      </c>
      <c r="K48" s="25">
        <f t="shared" si="4"/>
        <v>95</v>
      </c>
      <c r="L48" s="25">
        <f t="shared" si="5"/>
        <v>77.14</v>
      </c>
    </row>
    <row r="49" spans="1:12">
      <c r="A49" s="24">
        <v>46</v>
      </c>
      <c r="B49" s="25">
        <v>43</v>
      </c>
      <c r="C49" s="25">
        <v>9</v>
      </c>
      <c r="D49" s="25">
        <v>40</v>
      </c>
      <c r="E49" s="25">
        <f t="shared" si="0"/>
        <v>92</v>
      </c>
      <c r="F49" s="25">
        <v>80</v>
      </c>
      <c r="G49" s="25">
        <v>66</v>
      </c>
      <c r="H49" s="25">
        <f t="shared" si="1"/>
        <v>68.8</v>
      </c>
      <c r="I49" s="25">
        <f t="shared" si="2"/>
        <v>83</v>
      </c>
      <c r="J49" s="25">
        <f t="shared" si="3"/>
        <v>83</v>
      </c>
      <c r="K49" s="25">
        <f t="shared" si="4"/>
        <v>85.45</v>
      </c>
      <c r="L49" s="25">
        <f t="shared" si="5"/>
        <v>80.57</v>
      </c>
    </row>
    <row r="50" spans="1:12">
      <c r="A50" s="24">
        <v>47</v>
      </c>
      <c r="B50" s="25">
        <v>40</v>
      </c>
      <c r="C50" s="25">
        <v>9</v>
      </c>
      <c r="D50" s="25">
        <v>40</v>
      </c>
      <c r="E50" s="25">
        <f t="shared" si="0"/>
        <v>89</v>
      </c>
      <c r="F50" s="25">
        <v>80</v>
      </c>
      <c r="G50" s="25">
        <v>76</v>
      </c>
      <c r="H50" s="25">
        <f t="shared" si="1"/>
        <v>76.8</v>
      </c>
      <c r="I50" s="25">
        <f t="shared" si="2"/>
        <v>84</v>
      </c>
      <c r="J50" s="25">
        <f t="shared" si="3"/>
        <v>84</v>
      </c>
      <c r="K50" s="25">
        <f t="shared" si="4"/>
        <v>81.36</v>
      </c>
      <c r="L50" s="25">
        <f t="shared" si="5"/>
        <v>86.29</v>
      </c>
    </row>
    <row r="51" spans="1:12">
      <c r="A51" s="24">
        <v>48</v>
      </c>
      <c r="B51" s="25">
        <v>44</v>
      </c>
      <c r="C51" s="25">
        <v>9</v>
      </c>
      <c r="D51" s="25">
        <v>40</v>
      </c>
      <c r="E51" s="25">
        <f t="shared" si="0"/>
        <v>93</v>
      </c>
      <c r="F51" s="25">
        <v>90</v>
      </c>
      <c r="G51" s="25">
        <v>78</v>
      </c>
      <c r="H51" s="25">
        <f t="shared" si="1"/>
        <v>80.4</v>
      </c>
      <c r="I51" s="25">
        <f t="shared" si="2"/>
        <v>88</v>
      </c>
      <c r="J51" s="25">
        <f t="shared" si="3"/>
        <v>88</v>
      </c>
      <c r="K51" s="25">
        <f t="shared" si="4"/>
        <v>88.64</v>
      </c>
      <c r="L51" s="25">
        <f t="shared" si="5"/>
        <v>87.43</v>
      </c>
    </row>
    <row r="52" spans="1:12">
      <c r="A52" s="24">
        <v>49</v>
      </c>
      <c r="B52" s="25">
        <v>44</v>
      </c>
      <c r="C52" s="25">
        <v>9</v>
      </c>
      <c r="D52" s="25">
        <v>40</v>
      </c>
      <c r="E52" s="25">
        <f t="shared" si="0"/>
        <v>93</v>
      </c>
      <c r="F52" s="25">
        <v>90</v>
      </c>
      <c r="G52" s="25">
        <v>82</v>
      </c>
      <c r="H52" s="25">
        <f t="shared" si="1"/>
        <v>83.6</v>
      </c>
      <c r="I52" s="25">
        <f t="shared" si="2"/>
        <v>89</v>
      </c>
      <c r="J52" s="25">
        <f t="shared" si="3"/>
        <v>89</v>
      </c>
      <c r="K52" s="25">
        <f t="shared" si="4"/>
        <v>88.64</v>
      </c>
      <c r="L52" s="25">
        <f t="shared" si="5"/>
        <v>89.71</v>
      </c>
    </row>
    <row r="53" spans="1:12">
      <c r="A53" s="24">
        <v>50</v>
      </c>
      <c r="B53" s="25">
        <v>45</v>
      </c>
      <c r="C53" s="25">
        <v>10</v>
      </c>
      <c r="D53" s="25">
        <v>40</v>
      </c>
      <c r="E53" s="25">
        <f t="shared" si="0"/>
        <v>95</v>
      </c>
      <c r="F53" s="25">
        <v>80</v>
      </c>
      <c r="G53" s="25">
        <v>74</v>
      </c>
      <c r="H53" s="25">
        <f t="shared" si="1"/>
        <v>75.2</v>
      </c>
      <c r="I53" s="25">
        <f t="shared" si="2"/>
        <v>87</v>
      </c>
      <c r="J53" s="25">
        <f t="shared" si="3"/>
        <v>87</v>
      </c>
      <c r="K53" s="25">
        <f t="shared" si="4"/>
        <v>89.55</v>
      </c>
      <c r="L53" s="25">
        <f t="shared" si="5"/>
        <v>85.14</v>
      </c>
    </row>
    <row r="54" spans="1:12">
      <c r="A54" s="24">
        <v>51</v>
      </c>
      <c r="B54" s="25">
        <v>49</v>
      </c>
      <c r="C54" s="25">
        <v>9</v>
      </c>
      <c r="D54" s="25">
        <v>38</v>
      </c>
      <c r="E54" s="25">
        <f t="shared" si="0"/>
        <v>96</v>
      </c>
      <c r="F54" s="25">
        <v>80</v>
      </c>
      <c r="G54" s="25">
        <v>78</v>
      </c>
      <c r="H54" s="25">
        <f t="shared" si="1"/>
        <v>78.4</v>
      </c>
      <c r="I54" s="25">
        <f t="shared" si="2"/>
        <v>89</v>
      </c>
      <c r="J54" s="25">
        <f t="shared" si="3"/>
        <v>89</v>
      </c>
      <c r="K54" s="25">
        <f t="shared" si="4"/>
        <v>93.64</v>
      </c>
      <c r="L54" s="25">
        <f t="shared" si="5"/>
        <v>85.29</v>
      </c>
    </row>
    <row r="55" spans="1:12">
      <c r="A55" s="24">
        <v>52</v>
      </c>
      <c r="B55" s="25">
        <v>49</v>
      </c>
      <c r="C55" s="25">
        <v>10</v>
      </c>
      <c r="D55" s="25">
        <v>39</v>
      </c>
      <c r="E55" s="25">
        <f t="shared" si="0"/>
        <v>98</v>
      </c>
      <c r="F55" s="25">
        <v>70</v>
      </c>
      <c r="G55" s="25">
        <v>56</v>
      </c>
      <c r="H55" s="25">
        <f t="shared" si="1"/>
        <v>58.8</v>
      </c>
      <c r="I55" s="25">
        <f t="shared" si="2"/>
        <v>82</v>
      </c>
      <c r="J55" s="25">
        <f t="shared" si="3"/>
        <v>82</v>
      </c>
      <c r="K55" s="25">
        <f t="shared" si="4"/>
        <v>93.18</v>
      </c>
      <c r="L55" s="25">
        <f t="shared" si="5"/>
        <v>73.79</v>
      </c>
    </row>
    <row r="56" spans="1:12">
      <c r="A56" s="24">
        <v>53</v>
      </c>
      <c r="B56" s="25">
        <v>42</v>
      </c>
      <c r="C56" s="25">
        <v>9</v>
      </c>
      <c r="D56" s="25">
        <v>38</v>
      </c>
      <c r="E56" s="25">
        <f t="shared" si="0"/>
        <v>89</v>
      </c>
      <c r="F56" s="25">
        <v>70</v>
      </c>
      <c r="G56" s="25">
        <v>48</v>
      </c>
      <c r="H56" s="25">
        <f t="shared" si="1"/>
        <v>52.4</v>
      </c>
      <c r="I56" s="25">
        <f t="shared" si="2"/>
        <v>74</v>
      </c>
      <c r="J56" s="25">
        <f t="shared" si="3"/>
        <v>74</v>
      </c>
      <c r="K56" s="25">
        <f t="shared" si="4"/>
        <v>82.27</v>
      </c>
      <c r="L56" s="25">
        <f t="shared" si="5"/>
        <v>68.14</v>
      </c>
    </row>
    <row r="57" spans="1:12">
      <c r="A57" s="24">
        <v>54</v>
      </c>
      <c r="B57" s="25">
        <v>43</v>
      </c>
      <c r="C57" s="25">
        <v>10</v>
      </c>
      <c r="D57" s="25">
        <v>40</v>
      </c>
      <c r="E57" s="25">
        <f t="shared" si="0"/>
        <v>93</v>
      </c>
      <c r="F57" s="25">
        <v>70</v>
      </c>
      <c r="G57" s="25">
        <v>50</v>
      </c>
      <c r="H57" s="25">
        <f t="shared" si="1"/>
        <v>54</v>
      </c>
      <c r="I57" s="25">
        <f t="shared" si="2"/>
        <v>77</v>
      </c>
      <c r="J57" s="25">
        <f t="shared" si="3"/>
        <v>77</v>
      </c>
      <c r="K57" s="25">
        <f t="shared" si="4"/>
        <v>85</v>
      </c>
      <c r="L57" s="25">
        <f t="shared" si="5"/>
        <v>71.43</v>
      </c>
    </row>
    <row r="58" spans="1:12">
      <c r="A58" s="24">
        <v>55</v>
      </c>
      <c r="B58" s="25">
        <v>41</v>
      </c>
      <c r="C58" s="25">
        <v>8</v>
      </c>
      <c r="D58" s="25">
        <v>38</v>
      </c>
      <c r="E58" s="25">
        <f t="shared" si="0"/>
        <v>87</v>
      </c>
      <c r="F58" s="25">
        <v>70</v>
      </c>
      <c r="G58" s="25">
        <v>70</v>
      </c>
      <c r="H58" s="25">
        <f t="shared" si="1"/>
        <v>70</v>
      </c>
      <c r="I58" s="25">
        <f t="shared" si="2"/>
        <v>80</v>
      </c>
      <c r="J58" s="25">
        <f t="shared" si="3"/>
        <v>80</v>
      </c>
      <c r="K58" s="25">
        <f t="shared" si="4"/>
        <v>79.55</v>
      </c>
      <c r="L58" s="25">
        <f t="shared" si="5"/>
        <v>80.71</v>
      </c>
    </row>
    <row r="59" spans="1:12">
      <c r="A59" s="24">
        <v>56</v>
      </c>
      <c r="B59" s="25">
        <v>48</v>
      </c>
      <c r="C59" s="25">
        <v>10</v>
      </c>
      <c r="D59" s="25">
        <v>38</v>
      </c>
      <c r="E59" s="25">
        <f t="shared" si="0"/>
        <v>96</v>
      </c>
      <c r="F59" s="25">
        <v>70</v>
      </c>
      <c r="G59" s="25">
        <v>50</v>
      </c>
      <c r="H59" s="25">
        <f t="shared" si="1"/>
        <v>54</v>
      </c>
      <c r="I59" s="25">
        <f t="shared" si="2"/>
        <v>79</v>
      </c>
      <c r="J59" s="25">
        <f t="shared" si="3"/>
        <v>79</v>
      </c>
      <c r="K59" s="25">
        <f t="shared" si="4"/>
        <v>91.82</v>
      </c>
      <c r="L59" s="25">
        <f t="shared" si="5"/>
        <v>69.29</v>
      </c>
    </row>
    <row r="60" spans="1:12">
      <c r="A60" s="24">
        <v>57</v>
      </c>
      <c r="B60" s="25">
        <v>49</v>
      </c>
      <c r="C60" s="25">
        <v>10</v>
      </c>
      <c r="D60" s="25">
        <v>40</v>
      </c>
      <c r="E60" s="25">
        <f t="shared" si="0"/>
        <v>99</v>
      </c>
      <c r="F60" s="25">
        <v>70</v>
      </c>
      <c r="G60" s="25">
        <v>72</v>
      </c>
      <c r="H60" s="25">
        <f t="shared" si="1"/>
        <v>71.6</v>
      </c>
      <c r="I60" s="25">
        <f t="shared" si="2"/>
        <v>88</v>
      </c>
      <c r="J60" s="25">
        <f t="shared" si="3"/>
        <v>88</v>
      </c>
      <c r="K60" s="25">
        <f t="shared" si="4"/>
        <v>93.18</v>
      </c>
      <c r="L60" s="25">
        <f t="shared" si="5"/>
        <v>84</v>
      </c>
    </row>
    <row r="61" spans="1:12">
      <c r="A61" s="24">
        <v>58</v>
      </c>
      <c r="B61" s="25">
        <v>49</v>
      </c>
      <c r="C61" s="25">
        <v>10</v>
      </c>
      <c r="D61" s="25">
        <v>39</v>
      </c>
      <c r="E61" s="25">
        <f t="shared" si="0"/>
        <v>98</v>
      </c>
      <c r="F61" s="25">
        <v>70</v>
      </c>
      <c r="G61" s="25">
        <v>68</v>
      </c>
      <c r="H61" s="25">
        <f t="shared" si="1"/>
        <v>68.4</v>
      </c>
      <c r="I61" s="25">
        <f t="shared" si="2"/>
        <v>86</v>
      </c>
      <c r="J61" s="25">
        <f t="shared" si="3"/>
        <v>86</v>
      </c>
      <c r="K61" s="25">
        <f t="shared" si="4"/>
        <v>93.18</v>
      </c>
      <c r="L61" s="25">
        <f t="shared" si="5"/>
        <v>80.64</v>
      </c>
    </row>
    <row r="62" spans="1:12">
      <c r="A62" s="24">
        <v>59</v>
      </c>
      <c r="B62" s="25">
        <v>49</v>
      </c>
      <c r="C62" s="25">
        <v>10</v>
      </c>
      <c r="D62" s="25">
        <v>39</v>
      </c>
      <c r="E62" s="25">
        <f t="shared" si="0"/>
        <v>98</v>
      </c>
      <c r="F62" s="25">
        <v>70</v>
      </c>
      <c r="G62" s="25">
        <v>82</v>
      </c>
      <c r="H62" s="25">
        <f t="shared" si="1"/>
        <v>79.6</v>
      </c>
      <c r="I62" s="25">
        <f t="shared" si="2"/>
        <v>91</v>
      </c>
      <c r="J62" s="25">
        <f t="shared" si="3"/>
        <v>91</v>
      </c>
      <c r="K62" s="25">
        <f t="shared" si="4"/>
        <v>93.18</v>
      </c>
      <c r="L62" s="25">
        <f t="shared" si="5"/>
        <v>88.64</v>
      </c>
    </row>
    <row r="63" spans="1:12">
      <c r="A63" s="24">
        <v>60</v>
      </c>
      <c r="B63" s="25">
        <v>49</v>
      </c>
      <c r="C63" s="25">
        <v>10</v>
      </c>
      <c r="D63" s="25">
        <v>39</v>
      </c>
      <c r="E63" s="25">
        <f t="shared" si="0"/>
        <v>98</v>
      </c>
      <c r="F63" s="25">
        <v>80</v>
      </c>
      <c r="G63" s="25">
        <v>76</v>
      </c>
      <c r="H63" s="25">
        <f t="shared" si="1"/>
        <v>76.8</v>
      </c>
      <c r="I63" s="25">
        <f t="shared" si="2"/>
        <v>90</v>
      </c>
      <c r="J63" s="25">
        <f t="shared" si="3"/>
        <v>90</v>
      </c>
      <c r="K63" s="25">
        <f t="shared" si="4"/>
        <v>95</v>
      </c>
      <c r="L63" s="25">
        <f t="shared" si="5"/>
        <v>85.21</v>
      </c>
    </row>
    <row r="64" spans="1:12">
      <c r="A64" s="24">
        <v>61</v>
      </c>
      <c r="B64" s="25">
        <v>49</v>
      </c>
      <c r="C64" s="25">
        <v>10</v>
      </c>
      <c r="D64" s="25">
        <v>37</v>
      </c>
      <c r="E64" s="25">
        <f t="shared" si="0"/>
        <v>96</v>
      </c>
      <c r="F64" s="25">
        <v>70</v>
      </c>
      <c r="G64" s="25">
        <v>62</v>
      </c>
      <c r="H64" s="25">
        <f t="shared" si="1"/>
        <v>63.6</v>
      </c>
      <c r="I64" s="25">
        <f t="shared" si="2"/>
        <v>83</v>
      </c>
      <c r="J64" s="25">
        <f t="shared" si="3"/>
        <v>83</v>
      </c>
      <c r="K64" s="25">
        <f t="shared" si="4"/>
        <v>93.18</v>
      </c>
      <c r="L64" s="25">
        <f t="shared" si="5"/>
        <v>75.07</v>
      </c>
    </row>
    <row r="65" spans="1:12">
      <c r="A65" s="24">
        <v>62</v>
      </c>
      <c r="B65" s="25">
        <v>49</v>
      </c>
      <c r="C65" s="25">
        <v>10</v>
      </c>
      <c r="D65" s="25">
        <v>40</v>
      </c>
      <c r="E65" s="25">
        <f t="shared" si="0"/>
        <v>99</v>
      </c>
      <c r="F65" s="25">
        <v>70</v>
      </c>
      <c r="G65" s="25">
        <v>78</v>
      </c>
      <c r="H65" s="25">
        <f t="shared" si="1"/>
        <v>76.4</v>
      </c>
      <c r="I65" s="25">
        <f t="shared" si="2"/>
        <v>90</v>
      </c>
      <c r="J65" s="25">
        <f t="shared" si="3"/>
        <v>90</v>
      </c>
      <c r="K65" s="25">
        <f t="shared" si="4"/>
        <v>93.18</v>
      </c>
      <c r="L65" s="25">
        <f t="shared" si="5"/>
        <v>87.43</v>
      </c>
    </row>
    <row r="66" spans="1:12">
      <c r="A66" s="24">
        <v>63</v>
      </c>
      <c r="B66" s="25">
        <v>49</v>
      </c>
      <c r="C66" s="25">
        <v>10</v>
      </c>
      <c r="D66" s="25">
        <v>38</v>
      </c>
      <c r="E66" s="25">
        <f t="shared" si="0"/>
        <v>97</v>
      </c>
      <c r="F66" s="25">
        <v>80</v>
      </c>
      <c r="G66" s="25">
        <v>70</v>
      </c>
      <c r="H66" s="25">
        <f t="shared" si="1"/>
        <v>72</v>
      </c>
      <c r="I66" s="25">
        <f t="shared" si="2"/>
        <v>87</v>
      </c>
      <c r="J66" s="25">
        <f t="shared" si="3"/>
        <v>87</v>
      </c>
      <c r="K66" s="25">
        <f t="shared" si="4"/>
        <v>95</v>
      </c>
      <c r="L66" s="25">
        <f t="shared" si="5"/>
        <v>80.71</v>
      </c>
    </row>
    <row r="67" spans="1:12">
      <c r="A67" s="24">
        <v>64</v>
      </c>
      <c r="B67" s="25">
        <v>40</v>
      </c>
      <c r="C67" s="25">
        <v>10</v>
      </c>
      <c r="D67" s="25">
        <v>38</v>
      </c>
      <c r="E67" s="25">
        <f t="shared" si="0"/>
        <v>88</v>
      </c>
      <c r="F67" s="25">
        <v>70</v>
      </c>
      <c r="G67" s="25">
        <v>84</v>
      </c>
      <c r="H67" s="25">
        <f t="shared" si="1"/>
        <v>81.2</v>
      </c>
      <c r="I67" s="25">
        <f t="shared" si="2"/>
        <v>85</v>
      </c>
      <c r="J67" s="25">
        <f t="shared" si="3"/>
        <v>85</v>
      </c>
      <c r="K67" s="25">
        <f t="shared" si="4"/>
        <v>80.91</v>
      </c>
      <c r="L67" s="25">
        <f t="shared" si="5"/>
        <v>88.71</v>
      </c>
    </row>
    <row r="68" spans="1:12">
      <c r="A68" s="24">
        <v>65</v>
      </c>
      <c r="B68" s="25">
        <v>40</v>
      </c>
      <c r="C68" s="25">
        <v>10</v>
      </c>
      <c r="D68" s="25">
        <v>40</v>
      </c>
      <c r="E68" s="25">
        <f t="shared" ref="E68:E72" si="6">SUM(B68:D68)</f>
        <v>90</v>
      </c>
      <c r="F68" s="25">
        <v>80</v>
      </c>
      <c r="G68" s="25">
        <v>62</v>
      </c>
      <c r="H68" s="25">
        <f t="shared" ref="H68:H72" si="7">F68*0.2+G68*0.8</f>
        <v>65.6</v>
      </c>
      <c r="I68" s="25">
        <f t="shared" ref="I68:I72" si="8">ROUND(E68*0.6+H68*0.4,0)</f>
        <v>80</v>
      </c>
      <c r="J68" s="25">
        <f t="shared" ref="J68:J72" si="9">ROUND(K68*0.44+L68*0.56,0)</f>
        <v>80</v>
      </c>
      <c r="K68" s="25">
        <f t="shared" ref="K68:K72" si="10">ROUND(B68/50*100*30/44+C68/10*100*6/44+F68*8/44,2)</f>
        <v>82.73</v>
      </c>
      <c r="L68" s="25">
        <f t="shared" ref="L68:L72" si="11">ROUND(D68/40*100*24/56+G68*32/56,2)</f>
        <v>78.29</v>
      </c>
    </row>
    <row r="69" spans="1:12">
      <c r="A69" s="24">
        <v>66</v>
      </c>
      <c r="B69" s="25">
        <v>41</v>
      </c>
      <c r="C69" s="25">
        <v>10</v>
      </c>
      <c r="D69" s="25">
        <v>39</v>
      </c>
      <c r="E69" s="25">
        <f t="shared" si="6"/>
        <v>90</v>
      </c>
      <c r="F69" s="25">
        <v>80</v>
      </c>
      <c r="G69" s="25">
        <v>86</v>
      </c>
      <c r="H69" s="25">
        <f t="shared" si="7"/>
        <v>84.8</v>
      </c>
      <c r="I69" s="25">
        <f t="shared" si="8"/>
        <v>88</v>
      </c>
      <c r="J69" s="25">
        <f t="shared" si="9"/>
        <v>88</v>
      </c>
      <c r="K69" s="25">
        <f t="shared" si="10"/>
        <v>84.09</v>
      </c>
      <c r="L69" s="25">
        <f t="shared" si="11"/>
        <v>90.93</v>
      </c>
    </row>
    <row r="70" spans="1:12">
      <c r="A70" s="24">
        <v>67</v>
      </c>
      <c r="B70" s="25">
        <v>33</v>
      </c>
      <c r="C70" s="25">
        <v>9</v>
      </c>
      <c r="D70" s="25">
        <v>40</v>
      </c>
      <c r="E70" s="25">
        <f t="shared" si="6"/>
        <v>82</v>
      </c>
      <c r="F70" s="25">
        <v>70</v>
      </c>
      <c r="G70" s="25">
        <v>78</v>
      </c>
      <c r="H70" s="25">
        <f t="shared" si="7"/>
        <v>76.4</v>
      </c>
      <c r="I70" s="25">
        <f t="shared" si="8"/>
        <v>80</v>
      </c>
      <c r="J70" s="25">
        <f t="shared" si="9"/>
        <v>80</v>
      </c>
      <c r="K70" s="25">
        <f t="shared" si="10"/>
        <v>70</v>
      </c>
      <c r="L70" s="25">
        <f t="shared" si="11"/>
        <v>87.43</v>
      </c>
    </row>
    <row r="71" spans="1:12">
      <c r="A71" s="24">
        <v>68</v>
      </c>
      <c r="B71" s="25">
        <v>33</v>
      </c>
      <c r="C71" s="25">
        <v>10</v>
      </c>
      <c r="D71" s="25">
        <v>39</v>
      </c>
      <c r="E71" s="25">
        <f t="shared" si="6"/>
        <v>82</v>
      </c>
      <c r="F71" s="25">
        <v>90</v>
      </c>
      <c r="G71" s="25">
        <v>56</v>
      </c>
      <c r="H71" s="25">
        <f t="shared" si="7"/>
        <v>62.8</v>
      </c>
      <c r="I71" s="25">
        <f t="shared" si="8"/>
        <v>74</v>
      </c>
      <c r="J71" s="25">
        <f t="shared" si="9"/>
        <v>74</v>
      </c>
      <c r="K71" s="25">
        <f t="shared" si="10"/>
        <v>75</v>
      </c>
      <c r="L71" s="25">
        <f t="shared" si="11"/>
        <v>73.79</v>
      </c>
    </row>
    <row r="72" spans="1:12">
      <c r="A72" s="24">
        <v>69</v>
      </c>
      <c r="B72" s="25">
        <v>40</v>
      </c>
      <c r="C72" s="25">
        <v>8</v>
      </c>
      <c r="D72" s="25">
        <v>40</v>
      </c>
      <c r="E72" s="25">
        <f t="shared" si="6"/>
        <v>88</v>
      </c>
      <c r="F72" s="25">
        <v>70</v>
      </c>
      <c r="G72" s="25">
        <v>50</v>
      </c>
      <c r="H72" s="25">
        <f t="shared" si="7"/>
        <v>54</v>
      </c>
      <c r="I72" s="25">
        <f t="shared" si="8"/>
        <v>74</v>
      </c>
      <c r="J72" s="25">
        <f t="shared" si="9"/>
        <v>74</v>
      </c>
      <c r="K72" s="25">
        <f t="shared" si="10"/>
        <v>78.18</v>
      </c>
      <c r="L72" s="25">
        <f t="shared" si="11"/>
        <v>71.43</v>
      </c>
    </row>
    <row r="73" spans="1:12">
      <c r="A73" s="26"/>
      <c r="B73" s="27"/>
      <c r="C73" s="27"/>
      <c r="D73" s="27"/>
      <c r="E73" s="27"/>
      <c r="F73" s="27"/>
      <c r="G73" s="27"/>
      <c r="H73" s="26"/>
      <c r="I73" s="26"/>
      <c r="J73" s="26"/>
      <c r="K73" s="26"/>
      <c r="L73" s="26"/>
    </row>
    <row r="74" spans="1:12">
      <c r="A74" s="26"/>
      <c r="B74" s="27"/>
      <c r="C74" s="27"/>
      <c r="D74" s="27"/>
      <c r="E74" s="27"/>
      <c r="F74" s="27"/>
      <c r="G74" s="27"/>
      <c r="H74" s="26"/>
      <c r="I74" s="26"/>
      <c r="J74" s="26"/>
      <c r="K74" s="26"/>
      <c r="L74" s="26"/>
    </row>
    <row r="75" spans="1:1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</sheetData>
  <mergeCells count="4">
    <mergeCell ref="A1:L1"/>
    <mergeCell ref="B2:E2"/>
    <mergeCell ref="F2:H2"/>
    <mergeCell ref="A2:A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workbookViewId="0">
      <selection activeCell="P17" sqref="P17"/>
    </sheetView>
  </sheetViews>
  <sheetFormatPr defaultColWidth="9.14285714285714" defaultRowHeight="16.8"/>
  <cols>
    <col min="1" max="1" width="9.14285714285714" style="1"/>
    <col min="2" max="2" width="18" style="1" customWidth="1"/>
    <col min="3" max="3" width="14.875" style="1" customWidth="1"/>
    <col min="4" max="16384" width="9.14285714285714" style="1"/>
  </cols>
  <sheetData>
    <row r="1" ht="26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0</v>
      </c>
      <c r="B2" s="4" t="s">
        <v>1</v>
      </c>
      <c r="C2" s="5"/>
      <c r="D2" s="5"/>
      <c r="E2" s="6"/>
      <c r="F2" s="4" t="s">
        <v>2</v>
      </c>
      <c r="G2" s="5"/>
      <c r="H2" s="6"/>
      <c r="I2" s="6" t="s">
        <v>3</v>
      </c>
      <c r="J2" s="7" t="s">
        <v>4</v>
      </c>
      <c r="K2" s="7" t="s">
        <v>5</v>
      </c>
      <c r="L2" s="7" t="s">
        <v>6</v>
      </c>
    </row>
    <row r="3" spans="1:12">
      <c r="A3" s="8"/>
      <c r="B3" s="9" t="s">
        <v>7</v>
      </c>
      <c r="C3" s="9" t="s">
        <v>8</v>
      </c>
      <c r="D3" s="9" t="s">
        <v>9</v>
      </c>
      <c r="E3" s="10" t="s">
        <v>10</v>
      </c>
      <c r="F3" s="9" t="s">
        <v>11</v>
      </c>
      <c r="G3" s="9" t="s">
        <v>12</v>
      </c>
      <c r="H3" s="10" t="s">
        <v>13</v>
      </c>
      <c r="I3" s="10"/>
      <c r="J3" s="10" t="s">
        <v>14</v>
      </c>
      <c r="K3" s="11">
        <v>0.44</v>
      </c>
      <c r="L3" s="11">
        <v>0.56</v>
      </c>
    </row>
    <row r="4" spans="1:12">
      <c r="A4" s="12">
        <v>1</v>
      </c>
      <c r="B4" s="13">
        <v>49</v>
      </c>
      <c r="C4" s="13">
        <v>10</v>
      </c>
      <c r="D4" s="13">
        <v>39</v>
      </c>
      <c r="E4" s="13">
        <f t="shared" ref="E4:E60" si="0">SUM(B4:D4)</f>
        <v>98</v>
      </c>
      <c r="F4" s="13">
        <v>70</v>
      </c>
      <c r="G4" s="13">
        <v>56</v>
      </c>
      <c r="H4" s="13">
        <f t="shared" ref="H4:H60" si="1">F4*0.2+G4*0.8</f>
        <v>58.8</v>
      </c>
      <c r="I4" s="13">
        <f t="shared" ref="I4:I60" si="2">ROUND(E4*0.6+H4*0.4,0)</f>
        <v>82</v>
      </c>
      <c r="J4" s="13">
        <f t="shared" ref="J4:J60" si="3">ROUND(K4*0.44+L4*0.56,0)</f>
        <v>82</v>
      </c>
      <c r="K4" s="13">
        <f t="shared" ref="K4:K60" si="4">ROUND(B4/50*100*30/44+C4/10*100*6/44+F4*8/44,2)</f>
        <v>93.18</v>
      </c>
      <c r="L4" s="13">
        <f t="shared" ref="L4:L60" si="5">ROUND(D4/40*100*24/56+G4*32/56,2)</f>
        <v>73.79</v>
      </c>
    </row>
    <row r="5" spans="1:12">
      <c r="A5" s="12">
        <v>2</v>
      </c>
      <c r="B5" s="13">
        <v>49</v>
      </c>
      <c r="C5" s="13">
        <v>9</v>
      </c>
      <c r="D5" s="13">
        <v>38</v>
      </c>
      <c r="E5" s="13">
        <f t="shared" si="0"/>
        <v>96</v>
      </c>
      <c r="F5" s="13">
        <v>80</v>
      </c>
      <c r="G5" s="13">
        <v>74</v>
      </c>
      <c r="H5" s="13">
        <f t="shared" si="1"/>
        <v>75.2</v>
      </c>
      <c r="I5" s="13">
        <f t="shared" si="2"/>
        <v>88</v>
      </c>
      <c r="J5" s="13">
        <f t="shared" si="3"/>
        <v>88</v>
      </c>
      <c r="K5" s="13">
        <f t="shared" si="4"/>
        <v>93.64</v>
      </c>
      <c r="L5" s="13">
        <f t="shared" si="5"/>
        <v>83</v>
      </c>
    </row>
    <row r="6" spans="1:12">
      <c r="A6" s="12">
        <v>3</v>
      </c>
      <c r="B6" s="13">
        <v>36</v>
      </c>
      <c r="C6" s="13">
        <v>10</v>
      </c>
      <c r="D6" s="13">
        <v>38</v>
      </c>
      <c r="E6" s="13">
        <f t="shared" si="0"/>
        <v>84</v>
      </c>
      <c r="F6" s="13">
        <v>60</v>
      </c>
      <c r="G6" s="13">
        <v>70</v>
      </c>
      <c r="H6" s="13">
        <f t="shared" si="1"/>
        <v>68</v>
      </c>
      <c r="I6" s="13">
        <f t="shared" si="2"/>
        <v>78</v>
      </c>
      <c r="J6" s="13">
        <f t="shared" si="3"/>
        <v>78</v>
      </c>
      <c r="K6" s="13">
        <f t="shared" si="4"/>
        <v>73.64</v>
      </c>
      <c r="L6" s="13">
        <f t="shared" si="5"/>
        <v>80.71</v>
      </c>
    </row>
    <row r="7" spans="1:12">
      <c r="A7" s="12">
        <v>4</v>
      </c>
      <c r="B7" s="13">
        <v>41</v>
      </c>
      <c r="C7" s="13">
        <v>10</v>
      </c>
      <c r="D7" s="13">
        <v>40</v>
      </c>
      <c r="E7" s="13">
        <f t="shared" si="0"/>
        <v>91</v>
      </c>
      <c r="F7" s="13">
        <v>90</v>
      </c>
      <c r="G7" s="13">
        <v>78</v>
      </c>
      <c r="H7" s="13">
        <f t="shared" si="1"/>
        <v>80.4</v>
      </c>
      <c r="I7" s="13">
        <f t="shared" si="2"/>
        <v>87</v>
      </c>
      <c r="J7" s="13">
        <f t="shared" si="3"/>
        <v>87</v>
      </c>
      <c r="K7" s="13">
        <f t="shared" si="4"/>
        <v>85.91</v>
      </c>
      <c r="L7" s="13">
        <f t="shared" si="5"/>
        <v>87.43</v>
      </c>
    </row>
    <row r="8" spans="1:12">
      <c r="A8" s="12">
        <v>5</v>
      </c>
      <c r="B8" s="13">
        <v>41</v>
      </c>
      <c r="C8" s="13">
        <v>10</v>
      </c>
      <c r="D8" s="13">
        <v>38</v>
      </c>
      <c r="E8" s="13">
        <f t="shared" si="0"/>
        <v>89</v>
      </c>
      <c r="F8" s="13">
        <v>60</v>
      </c>
      <c r="G8" s="13">
        <v>56</v>
      </c>
      <c r="H8" s="13">
        <f t="shared" si="1"/>
        <v>56.8</v>
      </c>
      <c r="I8" s="13">
        <f t="shared" si="2"/>
        <v>76</v>
      </c>
      <c r="J8" s="13">
        <f t="shared" si="3"/>
        <v>76</v>
      </c>
      <c r="K8" s="13">
        <f t="shared" si="4"/>
        <v>80.45</v>
      </c>
      <c r="L8" s="13">
        <f t="shared" si="5"/>
        <v>72.71</v>
      </c>
    </row>
    <row r="9" spans="1:12">
      <c r="A9" s="12">
        <v>6</v>
      </c>
      <c r="B9" s="13">
        <v>49</v>
      </c>
      <c r="C9" s="13">
        <v>10</v>
      </c>
      <c r="D9" s="13">
        <v>40</v>
      </c>
      <c r="E9" s="13">
        <f t="shared" si="0"/>
        <v>99</v>
      </c>
      <c r="F9" s="13">
        <v>90</v>
      </c>
      <c r="G9" s="13">
        <v>72</v>
      </c>
      <c r="H9" s="13">
        <f t="shared" si="1"/>
        <v>75.6</v>
      </c>
      <c r="I9" s="13">
        <f t="shared" si="2"/>
        <v>90</v>
      </c>
      <c r="J9" s="13">
        <f t="shared" si="3"/>
        <v>90</v>
      </c>
      <c r="K9" s="13">
        <f t="shared" si="4"/>
        <v>96.82</v>
      </c>
      <c r="L9" s="13">
        <f t="shared" si="5"/>
        <v>84</v>
      </c>
    </row>
    <row r="10" spans="1:12">
      <c r="A10" s="12">
        <v>7</v>
      </c>
      <c r="B10" s="13">
        <v>41</v>
      </c>
      <c r="C10" s="13">
        <v>10</v>
      </c>
      <c r="D10" s="13">
        <v>39</v>
      </c>
      <c r="E10" s="13">
        <f t="shared" si="0"/>
        <v>90</v>
      </c>
      <c r="F10" s="13">
        <v>60</v>
      </c>
      <c r="G10" s="13">
        <v>56</v>
      </c>
      <c r="H10" s="13">
        <f t="shared" si="1"/>
        <v>56.8</v>
      </c>
      <c r="I10" s="13">
        <f t="shared" si="2"/>
        <v>77</v>
      </c>
      <c r="J10" s="13">
        <f t="shared" si="3"/>
        <v>77</v>
      </c>
      <c r="K10" s="13">
        <f t="shared" si="4"/>
        <v>80.45</v>
      </c>
      <c r="L10" s="13">
        <f t="shared" si="5"/>
        <v>73.79</v>
      </c>
    </row>
    <row r="11" spans="1:12">
      <c r="A11" s="12">
        <v>8</v>
      </c>
      <c r="B11" s="13">
        <v>41</v>
      </c>
      <c r="C11" s="13">
        <v>10</v>
      </c>
      <c r="D11" s="13">
        <v>38</v>
      </c>
      <c r="E11" s="13">
        <f t="shared" si="0"/>
        <v>89</v>
      </c>
      <c r="F11" s="13">
        <v>70</v>
      </c>
      <c r="G11" s="13">
        <v>52</v>
      </c>
      <c r="H11" s="13">
        <f t="shared" si="1"/>
        <v>55.6</v>
      </c>
      <c r="I11" s="13">
        <f t="shared" si="2"/>
        <v>76</v>
      </c>
      <c r="J11" s="13">
        <f t="shared" si="3"/>
        <v>76</v>
      </c>
      <c r="K11" s="13">
        <f t="shared" si="4"/>
        <v>82.27</v>
      </c>
      <c r="L11" s="13">
        <f t="shared" si="5"/>
        <v>70.43</v>
      </c>
    </row>
    <row r="12" spans="1:12">
      <c r="A12" s="12">
        <v>9</v>
      </c>
      <c r="B12" s="13">
        <v>39</v>
      </c>
      <c r="C12" s="13">
        <v>10</v>
      </c>
      <c r="D12" s="13">
        <v>40</v>
      </c>
      <c r="E12" s="13">
        <f t="shared" si="0"/>
        <v>89</v>
      </c>
      <c r="F12" s="13">
        <v>60</v>
      </c>
      <c r="G12" s="13">
        <v>72</v>
      </c>
      <c r="H12" s="13">
        <f t="shared" si="1"/>
        <v>69.6</v>
      </c>
      <c r="I12" s="13">
        <f t="shared" si="2"/>
        <v>81</v>
      </c>
      <c r="J12" s="13">
        <f t="shared" si="3"/>
        <v>81</v>
      </c>
      <c r="K12" s="13">
        <f t="shared" si="4"/>
        <v>77.73</v>
      </c>
      <c r="L12" s="13">
        <f t="shared" si="5"/>
        <v>84</v>
      </c>
    </row>
    <row r="13" spans="1:12">
      <c r="A13" s="12">
        <v>10</v>
      </c>
      <c r="B13" s="13">
        <v>46</v>
      </c>
      <c r="C13" s="13">
        <v>8</v>
      </c>
      <c r="D13" s="13">
        <v>37</v>
      </c>
      <c r="E13" s="13">
        <f t="shared" si="0"/>
        <v>91</v>
      </c>
      <c r="F13" s="13">
        <v>60</v>
      </c>
      <c r="G13" s="13">
        <v>48</v>
      </c>
      <c r="H13" s="13">
        <f t="shared" si="1"/>
        <v>50.4</v>
      </c>
      <c r="I13" s="13">
        <f t="shared" si="2"/>
        <v>75</v>
      </c>
      <c r="J13" s="13">
        <f t="shared" si="3"/>
        <v>75</v>
      </c>
      <c r="K13" s="13">
        <f t="shared" si="4"/>
        <v>84.55</v>
      </c>
      <c r="L13" s="13">
        <f t="shared" si="5"/>
        <v>67.07</v>
      </c>
    </row>
    <row r="14" spans="1:12">
      <c r="A14" s="12">
        <v>11</v>
      </c>
      <c r="B14" s="13">
        <v>49</v>
      </c>
      <c r="C14" s="13">
        <v>10</v>
      </c>
      <c r="D14" s="13">
        <v>40</v>
      </c>
      <c r="E14" s="13">
        <f t="shared" si="0"/>
        <v>99</v>
      </c>
      <c r="F14" s="13">
        <v>90</v>
      </c>
      <c r="G14" s="13">
        <v>80</v>
      </c>
      <c r="H14" s="13">
        <f t="shared" si="1"/>
        <v>82</v>
      </c>
      <c r="I14" s="13">
        <f t="shared" si="2"/>
        <v>92</v>
      </c>
      <c r="J14" s="13">
        <f t="shared" si="3"/>
        <v>92</v>
      </c>
      <c r="K14" s="13">
        <f t="shared" si="4"/>
        <v>96.82</v>
      </c>
      <c r="L14" s="13">
        <f t="shared" si="5"/>
        <v>88.57</v>
      </c>
    </row>
    <row r="15" spans="1:12">
      <c r="A15" s="12">
        <v>12</v>
      </c>
      <c r="B15" s="13">
        <v>49</v>
      </c>
      <c r="C15" s="13">
        <v>10</v>
      </c>
      <c r="D15" s="13">
        <v>40</v>
      </c>
      <c r="E15" s="13">
        <f t="shared" si="0"/>
        <v>99</v>
      </c>
      <c r="F15" s="13">
        <v>0</v>
      </c>
      <c r="G15" s="13">
        <v>84</v>
      </c>
      <c r="H15" s="13">
        <f t="shared" si="1"/>
        <v>67.2</v>
      </c>
      <c r="I15" s="13">
        <f t="shared" si="2"/>
        <v>86</v>
      </c>
      <c r="J15" s="13">
        <f t="shared" si="3"/>
        <v>86</v>
      </c>
      <c r="K15" s="13">
        <f t="shared" si="4"/>
        <v>80.45</v>
      </c>
      <c r="L15" s="13">
        <f t="shared" si="5"/>
        <v>90.86</v>
      </c>
    </row>
    <row r="16" spans="1:12">
      <c r="A16" s="12">
        <v>13</v>
      </c>
      <c r="B16" s="13">
        <v>49</v>
      </c>
      <c r="C16" s="13">
        <v>10</v>
      </c>
      <c r="D16" s="13">
        <v>40</v>
      </c>
      <c r="E16" s="13">
        <f t="shared" si="0"/>
        <v>99</v>
      </c>
      <c r="F16" s="13">
        <v>70</v>
      </c>
      <c r="G16" s="13">
        <v>78</v>
      </c>
      <c r="H16" s="13">
        <f t="shared" si="1"/>
        <v>76.4</v>
      </c>
      <c r="I16" s="13">
        <f t="shared" si="2"/>
        <v>90</v>
      </c>
      <c r="J16" s="13">
        <f t="shared" si="3"/>
        <v>90</v>
      </c>
      <c r="K16" s="13">
        <f t="shared" si="4"/>
        <v>93.18</v>
      </c>
      <c r="L16" s="13">
        <f t="shared" si="5"/>
        <v>87.43</v>
      </c>
    </row>
    <row r="17" spans="1:12">
      <c r="A17" s="12">
        <v>14</v>
      </c>
      <c r="B17" s="13">
        <v>44</v>
      </c>
      <c r="C17" s="13">
        <v>10</v>
      </c>
      <c r="D17" s="13">
        <v>38</v>
      </c>
      <c r="E17" s="13">
        <f t="shared" si="0"/>
        <v>92</v>
      </c>
      <c r="F17" s="13">
        <v>90</v>
      </c>
      <c r="G17" s="13">
        <v>92</v>
      </c>
      <c r="H17" s="13">
        <f t="shared" si="1"/>
        <v>91.6</v>
      </c>
      <c r="I17" s="13">
        <f t="shared" si="2"/>
        <v>92</v>
      </c>
      <c r="J17" s="13">
        <f t="shared" si="3"/>
        <v>92</v>
      </c>
      <c r="K17" s="13">
        <f t="shared" si="4"/>
        <v>90</v>
      </c>
      <c r="L17" s="13">
        <f t="shared" si="5"/>
        <v>93.29</v>
      </c>
    </row>
    <row r="18" spans="1:12">
      <c r="A18" s="12">
        <v>15</v>
      </c>
      <c r="B18" s="13">
        <v>49</v>
      </c>
      <c r="C18" s="13">
        <v>10</v>
      </c>
      <c r="D18" s="13">
        <v>40</v>
      </c>
      <c r="E18" s="13">
        <f t="shared" si="0"/>
        <v>99</v>
      </c>
      <c r="F18" s="13">
        <v>80</v>
      </c>
      <c r="G18" s="13">
        <v>76</v>
      </c>
      <c r="H18" s="13">
        <f t="shared" si="1"/>
        <v>76.8</v>
      </c>
      <c r="I18" s="13">
        <f t="shared" si="2"/>
        <v>90</v>
      </c>
      <c r="J18" s="13">
        <f t="shared" si="3"/>
        <v>90</v>
      </c>
      <c r="K18" s="13">
        <f t="shared" si="4"/>
        <v>95</v>
      </c>
      <c r="L18" s="13">
        <f t="shared" si="5"/>
        <v>86.29</v>
      </c>
    </row>
    <row r="19" spans="1:12">
      <c r="A19" s="12">
        <v>16</v>
      </c>
      <c r="B19" s="13">
        <v>45</v>
      </c>
      <c r="C19" s="13">
        <v>10</v>
      </c>
      <c r="D19" s="13">
        <v>39</v>
      </c>
      <c r="E19" s="13">
        <f t="shared" si="0"/>
        <v>94</v>
      </c>
      <c r="F19" s="13">
        <v>90</v>
      </c>
      <c r="G19" s="13">
        <v>76</v>
      </c>
      <c r="H19" s="13">
        <f t="shared" si="1"/>
        <v>78.8</v>
      </c>
      <c r="I19" s="13">
        <f t="shared" si="2"/>
        <v>88</v>
      </c>
      <c r="J19" s="13">
        <f t="shared" si="3"/>
        <v>88</v>
      </c>
      <c r="K19" s="13">
        <f t="shared" si="4"/>
        <v>91.36</v>
      </c>
      <c r="L19" s="13">
        <f t="shared" si="5"/>
        <v>85.21</v>
      </c>
    </row>
    <row r="20" spans="1:12">
      <c r="A20" s="12">
        <v>17</v>
      </c>
      <c r="B20" s="13">
        <v>44</v>
      </c>
      <c r="C20" s="13">
        <v>9</v>
      </c>
      <c r="D20" s="13">
        <v>38</v>
      </c>
      <c r="E20" s="13">
        <f t="shared" si="0"/>
        <v>91</v>
      </c>
      <c r="F20" s="13">
        <v>90</v>
      </c>
      <c r="G20" s="13">
        <v>60</v>
      </c>
      <c r="H20" s="13">
        <f t="shared" si="1"/>
        <v>66</v>
      </c>
      <c r="I20" s="13">
        <f t="shared" si="2"/>
        <v>81</v>
      </c>
      <c r="J20" s="13">
        <f t="shared" si="3"/>
        <v>81</v>
      </c>
      <c r="K20" s="13">
        <f t="shared" si="4"/>
        <v>88.64</v>
      </c>
      <c r="L20" s="13">
        <f t="shared" si="5"/>
        <v>75</v>
      </c>
    </row>
    <row r="21" spans="1:12">
      <c r="A21" s="12">
        <v>18</v>
      </c>
      <c r="B21" s="13">
        <v>49</v>
      </c>
      <c r="C21" s="13">
        <v>10</v>
      </c>
      <c r="D21" s="13">
        <v>40</v>
      </c>
      <c r="E21" s="13">
        <f t="shared" si="0"/>
        <v>99</v>
      </c>
      <c r="F21" s="13">
        <v>90</v>
      </c>
      <c r="G21" s="13">
        <v>92</v>
      </c>
      <c r="H21" s="13">
        <f t="shared" si="1"/>
        <v>91.6</v>
      </c>
      <c r="I21" s="13">
        <f t="shared" si="2"/>
        <v>96</v>
      </c>
      <c r="J21" s="13">
        <f t="shared" si="3"/>
        <v>96</v>
      </c>
      <c r="K21" s="13">
        <f t="shared" si="4"/>
        <v>96.82</v>
      </c>
      <c r="L21" s="13">
        <f t="shared" si="5"/>
        <v>95.43</v>
      </c>
    </row>
    <row r="22" spans="1:12">
      <c r="A22" s="12">
        <v>19</v>
      </c>
      <c r="B22" s="13">
        <v>49</v>
      </c>
      <c r="C22" s="13">
        <v>10</v>
      </c>
      <c r="D22" s="13">
        <v>40</v>
      </c>
      <c r="E22" s="13">
        <f t="shared" si="0"/>
        <v>99</v>
      </c>
      <c r="F22" s="13">
        <v>90</v>
      </c>
      <c r="G22" s="13">
        <v>84</v>
      </c>
      <c r="H22" s="13">
        <f t="shared" si="1"/>
        <v>85.2</v>
      </c>
      <c r="I22" s="13">
        <f t="shared" si="2"/>
        <v>93</v>
      </c>
      <c r="J22" s="13">
        <f t="shared" si="3"/>
        <v>93</v>
      </c>
      <c r="K22" s="13">
        <f t="shared" si="4"/>
        <v>96.82</v>
      </c>
      <c r="L22" s="13">
        <f t="shared" si="5"/>
        <v>90.86</v>
      </c>
    </row>
    <row r="23" spans="1:12">
      <c r="A23" s="12">
        <v>20</v>
      </c>
      <c r="B23" s="13">
        <v>49</v>
      </c>
      <c r="C23" s="13">
        <v>10</v>
      </c>
      <c r="D23" s="13">
        <v>40</v>
      </c>
      <c r="E23" s="13">
        <f t="shared" si="0"/>
        <v>99</v>
      </c>
      <c r="F23" s="13">
        <v>90</v>
      </c>
      <c r="G23" s="13">
        <v>78</v>
      </c>
      <c r="H23" s="13">
        <f t="shared" si="1"/>
        <v>80.4</v>
      </c>
      <c r="I23" s="13">
        <f t="shared" si="2"/>
        <v>92</v>
      </c>
      <c r="J23" s="13">
        <f t="shared" si="3"/>
        <v>92</v>
      </c>
      <c r="K23" s="13">
        <f t="shared" si="4"/>
        <v>96.82</v>
      </c>
      <c r="L23" s="13">
        <f t="shared" si="5"/>
        <v>87.43</v>
      </c>
    </row>
    <row r="24" spans="1:12">
      <c r="A24" s="12">
        <v>21</v>
      </c>
      <c r="B24" s="13">
        <v>49</v>
      </c>
      <c r="C24" s="13">
        <v>10</v>
      </c>
      <c r="D24" s="13">
        <v>40</v>
      </c>
      <c r="E24" s="13">
        <f t="shared" si="0"/>
        <v>99</v>
      </c>
      <c r="F24" s="13">
        <v>90</v>
      </c>
      <c r="G24" s="13">
        <v>62</v>
      </c>
      <c r="H24" s="13">
        <f t="shared" si="1"/>
        <v>67.6</v>
      </c>
      <c r="I24" s="13">
        <f t="shared" si="2"/>
        <v>86</v>
      </c>
      <c r="J24" s="13">
        <f t="shared" si="3"/>
        <v>86</v>
      </c>
      <c r="K24" s="13">
        <f t="shared" si="4"/>
        <v>96.82</v>
      </c>
      <c r="L24" s="13">
        <f t="shared" si="5"/>
        <v>78.29</v>
      </c>
    </row>
    <row r="25" spans="1:12">
      <c r="A25" s="12">
        <v>22</v>
      </c>
      <c r="B25" s="13">
        <v>48</v>
      </c>
      <c r="C25" s="13">
        <v>10</v>
      </c>
      <c r="D25" s="13">
        <v>40</v>
      </c>
      <c r="E25" s="13">
        <f t="shared" si="0"/>
        <v>98</v>
      </c>
      <c r="F25" s="13">
        <v>90</v>
      </c>
      <c r="G25" s="13">
        <v>74</v>
      </c>
      <c r="H25" s="13">
        <f t="shared" si="1"/>
        <v>77.2</v>
      </c>
      <c r="I25" s="13">
        <f t="shared" si="2"/>
        <v>90</v>
      </c>
      <c r="J25" s="13">
        <f t="shared" si="3"/>
        <v>90</v>
      </c>
      <c r="K25" s="13">
        <f t="shared" si="4"/>
        <v>95.45</v>
      </c>
      <c r="L25" s="13">
        <f t="shared" si="5"/>
        <v>85.14</v>
      </c>
    </row>
    <row r="26" spans="1:12">
      <c r="A26" s="12">
        <v>23</v>
      </c>
      <c r="B26" s="13">
        <v>49</v>
      </c>
      <c r="C26" s="13">
        <v>10</v>
      </c>
      <c r="D26" s="13">
        <v>40</v>
      </c>
      <c r="E26" s="13">
        <f t="shared" si="0"/>
        <v>99</v>
      </c>
      <c r="F26" s="13">
        <v>70</v>
      </c>
      <c r="G26" s="13">
        <v>80</v>
      </c>
      <c r="H26" s="13">
        <f t="shared" si="1"/>
        <v>78</v>
      </c>
      <c r="I26" s="13">
        <f t="shared" si="2"/>
        <v>91</v>
      </c>
      <c r="J26" s="13">
        <f t="shared" si="3"/>
        <v>91</v>
      </c>
      <c r="K26" s="13">
        <f t="shared" si="4"/>
        <v>93.18</v>
      </c>
      <c r="L26" s="13">
        <f t="shared" si="5"/>
        <v>88.57</v>
      </c>
    </row>
    <row r="27" spans="1:12">
      <c r="A27" s="12">
        <v>24</v>
      </c>
      <c r="B27" s="13">
        <v>49</v>
      </c>
      <c r="C27" s="13">
        <v>10</v>
      </c>
      <c r="D27" s="13">
        <v>40</v>
      </c>
      <c r="E27" s="13">
        <f t="shared" si="0"/>
        <v>99</v>
      </c>
      <c r="F27" s="13">
        <v>90</v>
      </c>
      <c r="G27" s="13">
        <v>84</v>
      </c>
      <c r="H27" s="13">
        <f t="shared" si="1"/>
        <v>85.2</v>
      </c>
      <c r="I27" s="13">
        <f t="shared" si="2"/>
        <v>93</v>
      </c>
      <c r="J27" s="13">
        <f t="shared" si="3"/>
        <v>93</v>
      </c>
      <c r="K27" s="13">
        <f t="shared" si="4"/>
        <v>96.82</v>
      </c>
      <c r="L27" s="13">
        <f t="shared" si="5"/>
        <v>90.86</v>
      </c>
    </row>
    <row r="28" spans="1:12">
      <c r="A28" s="12">
        <v>25</v>
      </c>
      <c r="B28" s="13">
        <v>49</v>
      </c>
      <c r="C28" s="13">
        <v>10</v>
      </c>
      <c r="D28" s="13">
        <v>40</v>
      </c>
      <c r="E28" s="13">
        <f t="shared" si="0"/>
        <v>99</v>
      </c>
      <c r="F28" s="13">
        <v>90</v>
      </c>
      <c r="G28" s="13">
        <v>84</v>
      </c>
      <c r="H28" s="13">
        <f t="shared" si="1"/>
        <v>85.2</v>
      </c>
      <c r="I28" s="13">
        <f t="shared" si="2"/>
        <v>93</v>
      </c>
      <c r="J28" s="13">
        <f t="shared" si="3"/>
        <v>93</v>
      </c>
      <c r="K28" s="13">
        <f t="shared" si="4"/>
        <v>96.82</v>
      </c>
      <c r="L28" s="13">
        <f t="shared" si="5"/>
        <v>90.86</v>
      </c>
    </row>
    <row r="29" spans="1:12">
      <c r="A29" s="12">
        <v>26</v>
      </c>
      <c r="B29" s="13">
        <v>41</v>
      </c>
      <c r="C29" s="13">
        <v>9</v>
      </c>
      <c r="D29" s="13">
        <v>38</v>
      </c>
      <c r="E29" s="13">
        <f t="shared" si="0"/>
        <v>88</v>
      </c>
      <c r="F29" s="13">
        <v>90</v>
      </c>
      <c r="G29" s="13">
        <v>68</v>
      </c>
      <c r="H29" s="13">
        <f t="shared" si="1"/>
        <v>72.4</v>
      </c>
      <c r="I29" s="13">
        <f t="shared" si="2"/>
        <v>82</v>
      </c>
      <c r="J29" s="13">
        <f t="shared" si="3"/>
        <v>82</v>
      </c>
      <c r="K29" s="13">
        <f t="shared" si="4"/>
        <v>84.55</v>
      </c>
      <c r="L29" s="13">
        <f t="shared" si="5"/>
        <v>79.57</v>
      </c>
    </row>
    <row r="30" spans="1:12">
      <c r="A30" s="12">
        <v>27</v>
      </c>
      <c r="B30" s="13">
        <v>49</v>
      </c>
      <c r="C30" s="13">
        <v>10</v>
      </c>
      <c r="D30" s="13">
        <v>40</v>
      </c>
      <c r="E30" s="13">
        <f t="shared" si="0"/>
        <v>99</v>
      </c>
      <c r="F30" s="13">
        <v>70</v>
      </c>
      <c r="G30" s="13">
        <v>72</v>
      </c>
      <c r="H30" s="13">
        <f t="shared" si="1"/>
        <v>71.6</v>
      </c>
      <c r="I30" s="13">
        <f t="shared" si="2"/>
        <v>88</v>
      </c>
      <c r="J30" s="13">
        <f t="shared" si="3"/>
        <v>88</v>
      </c>
      <c r="K30" s="13">
        <f t="shared" si="4"/>
        <v>93.18</v>
      </c>
      <c r="L30" s="13">
        <f t="shared" si="5"/>
        <v>84</v>
      </c>
    </row>
    <row r="31" spans="1:12">
      <c r="A31" s="12">
        <v>28</v>
      </c>
      <c r="B31" s="13">
        <v>49</v>
      </c>
      <c r="C31" s="13">
        <v>10</v>
      </c>
      <c r="D31" s="13">
        <v>37</v>
      </c>
      <c r="E31" s="13">
        <f t="shared" si="0"/>
        <v>96</v>
      </c>
      <c r="F31" s="13">
        <v>90</v>
      </c>
      <c r="G31" s="13">
        <v>66</v>
      </c>
      <c r="H31" s="13">
        <f t="shared" si="1"/>
        <v>70.8</v>
      </c>
      <c r="I31" s="13">
        <f t="shared" si="2"/>
        <v>86</v>
      </c>
      <c r="J31" s="13">
        <f t="shared" si="3"/>
        <v>86</v>
      </c>
      <c r="K31" s="13">
        <f t="shared" si="4"/>
        <v>96.82</v>
      </c>
      <c r="L31" s="13">
        <f t="shared" si="5"/>
        <v>77.36</v>
      </c>
    </row>
    <row r="32" spans="1:12">
      <c r="A32" s="12">
        <v>29</v>
      </c>
      <c r="B32" s="13">
        <v>49</v>
      </c>
      <c r="C32" s="13">
        <v>10</v>
      </c>
      <c r="D32" s="13">
        <v>38</v>
      </c>
      <c r="E32" s="13">
        <f t="shared" si="0"/>
        <v>97</v>
      </c>
      <c r="F32" s="13">
        <v>90</v>
      </c>
      <c r="G32" s="13">
        <v>38</v>
      </c>
      <c r="H32" s="13">
        <f t="shared" si="1"/>
        <v>48.4</v>
      </c>
      <c r="I32" s="13">
        <f t="shared" si="2"/>
        <v>78</v>
      </c>
      <c r="J32" s="13">
        <f t="shared" si="3"/>
        <v>78</v>
      </c>
      <c r="K32" s="13">
        <f t="shared" si="4"/>
        <v>96.82</v>
      </c>
      <c r="L32" s="13">
        <f t="shared" si="5"/>
        <v>62.43</v>
      </c>
    </row>
    <row r="33" spans="1:12">
      <c r="A33" s="12">
        <v>30</v>
      </c>
      <c r="B33" s="13">
        <v>49</v>
      </c>
      <c r="C33" s="13">
        <v>10</v>
      </c>
      <c r="D33" s="13">
        <v>40</v>
      </c>
      <c r="E33" s="13">
        <f t="shared" si="0"/>
        <v>99</v>
      </c>
      <c r="F33" s="13">
        <v>80</v>
      </c>
      <c r="G33" s="13">
        <v>58</v>
      </c>
      <c r="H33" s="13">
        <f t="shared" si="1"/>
        <v>62.4</v>
      </c>
      <c r="I33" s="13">
        <f t="shared" si="2"/>
        <v>84</v>
      </c>
      <c r="J33" s="13">
        <f t="shared" si="3"/>
        <v>84</v>
      </c>
      <c r="K33" s="13">
        <f t="shared" si="4"/>
        <v>95</v>
      </c>
      <c r="L33" s="13">
        <f t="shared" si="5"/>
        <v>76</v>
      </c>
    </row>
    <row r="34" spans="1:12">
      <c r="A34" s="12">
        <v>31</v>
      </c>
      <c r="B34" s="13">
        <v>40</v>
      </c>
      <c r="C34" s="13">
        <v>10</v>
      </c>
      <c r="D34" s="13">
        <v>40</v>
      </c>
      <c r="E34" s="13">
        <f t="shared" si="0"/>
        <v>90</v>
      </c>
      <c r="F34" s="13">
        <v>90</v>
      </c>
      <c r="G34" s="13">
        <v>68</v>
      </c>
      <c r="H34" s="13">
        <f t="shared" si="1"/>
        <v>72.4</v>
      </c>
      <c r="I34" s="13">
        <f t="shared" si="2"/>
        <v>83</v>
      </c>
      <c r="J34" s="13">
        <f t="shared" si="3"/>
        <v>83</v>
      </c>
      <c r="K34" s="13">
        <f t="shared" si="4"/>
        <v>84.55</v>
      </c>
      <c r="L34" s="13">
        <f t="shared" si="5"/>
        <v>81.71</v>
      </c>
    </row>
    <row r="35" spans="1:12">
      <c r="A35" s="12">
        <v>32</v>
      </c>
      <c r="B35" s="13">
        <v>49</v>
      </c>
      <c r="C35" s="13">
        <v>10</v>
      </c>
      <c r="D35" s="13">
        <v>38</v>
      </c>
      <c r="E35" s="13">
        <f t="shared" si="0"/>
        <v>97</v>
      </c>
      <c r="F35" s="13">
        <v>80</v>
      </c>
      <c r="G35" s="13">
        <v>76</v>
      </c>
      <c r="H35" s="13">
        <f t="shared" si="1"/>
        <v>76.8</v>
      </c>
      <c r="I35" s="13">
        <f t="shared" si="2"/>
        <v>89</v>
      </c>
      <c r="J35" s="13">
        <f t="shared" si="3"/>
        <v>89</v>
      </c>
      <c r="K35" s="13">
        <f t="shared" si="4"/>
        <v>95</v>
      </c>
      <c r="L35" s="13">
        <f t="shared" si="5"/>
        <v>84.14</v>
      </c>
    </row>
    <row r="36" spans="1:12">
      <c r="A36" s="12">
        <v>33</v>
      </c>
      <c r="B36" s="13">
        <v>49</v>
      </c>
      <c r="C36" s="13">
        <v>10</v>
      </c>
      <c r="D36" s="13">
        <v>40</v>
      </c>
      <c r="E36" s="13">
        <f t="shared" si="0"/>
        <v>99</v>
      </c>
      <c r="F36" s="13">
        <v>80</v>
      </c>
      <c r="G36" s="13">
        <v>78</v>
      </c>
      <c r="H36" s="13">
        <f t="shared" si="1"/>
        <v>78.4</v>
      </c>
      <c r="I36" s="13">
        <f t="shared" si="2"/>
        <v>91</v>
      </c>
      <c r="J36" s="13">
        <f t="shared" si="3"/>
        <v>91</v>
      </c>
      <c r="K36" s="13">
        <f t="shared" si="4"/>
        <v>95</v>
      </c>
      <c r="L36" s="13">
        <f t="shared" si="5"/>
        <v>87.43</v>
      </c>
    </row>
    <row r="37" spans="1:12">
      <c r="A37" s="12">
        <v>34</v>
      </c>
      <c r="B37" s="13">
        <v>40</v>
      </c>
      <c r="C37" s="13">
        <v>10</v>
      </c>
      <c r="D37" s="13">
        <v>33</v>
      </c>
      <c r="E37" s="13">
        <f t="shared" si="0"/>
        <v>83</v>
      </c>
      <c r="F37" s="13">
        <v>70</v>
      </c>
      <c r="G37" s="13">
        <v>76</v>
      </c>
      <c r="H37" s="13">
        <f t="shared" si="1"/>
        <v>74.8</v>
      </c>
      <c r="I37" s="13">
        <f t="shared" si="2"/>
        <v>80</v>
      </c>
      <c r="J37" s="13">
        <f t="shared" si="3"/>
        <v>80</v>
      </c>
      <c r="K37" s="13">
        <f t="shared" si="4"/>
        <v>80.91</v>
      </c>
      <c r="L37" s="13">
        <f t="shared" si="5"/>
        <v>78.79</v>
      </c>
    </row>
    <row r="38" spans="1:12">
      <c r="A38" s="12">
        <v>35</v>
      </c>
      <c r="B38" s="13">
        <v>40</v>
      </c>
      <c r="C38" s="13">
        <v>10</v>
      </c>
      <c r="D38" s="13">
        <v>38</v>
      </c>
      <c r="E38" s="13">
        <f t="shared" si="0"/>
        <v>88</v>
      </c>
      <c r="F38" s="13">
        <v>80</v>
      </c>
      <c r="G38" s="13">
        <v>90</v>
      </c>
      <c r="H38" s="13">
        <f t="shared" si="1"/>
        <v>88</v>
      </c>
      <c r="I38" s="13">
        <f t="shared" si="2"/>
        <v>88</v>
      </c>
      <c r="J38" s="13">
        <f t="shared" si="3"/>
        <v>88</v>
      </c>
      <c r="K38" s="13">
        <f t="shared" si="4"/>
        <v>82.73</v>
      </c>
      <c r="L38" s="13">
        <f t="shared" si="5"/>
        <v>92.14</v>
      </c>
    </row>
    <row r="39" spans="1:12">
      <c r="A39" s="12">
        <v>36</v>
      </c>
      <c r="B39" s="13">
        <v>40</v>
      </c>
      <c r="C39" s="13">
        <v>10</v>
      </c>
      <c r="D39" s="13">
        <v>39</v>
      </c>
      <c r="E39" s="13">
        <f t="shared" si="0"/>
        <v>89</v>
      </c>
      <c r="F39" s="13">
        <v>70</v>
      </c>
      <c r="G39" s="13">
        <v>72</v>
      </c>
      <c r="H39" s="13">
        <f t="shared" si="1"/>
        <v>71.6</v>
      </c>
      <c r="I39" s="13">
        <f t="shared" si="2"/>
        <v>82</v>
      </c>
      <c r="J39" s="13">
        <f t="shared" si="3"/>
        <v>82</v>
      </c>
      <c r="K39" s="13">
        <f t="shared" si="4"/>
        <v>80.91</v>
      </c>
      <c r="L39" s="13">
        <f t="shared" si="5"/>
        <v>82.93</v>
      </c>
    </row>
    <row r="40" spans="1:12">
      <c r="A40" s="12">
        <v>37</v>
      </c>
      <c r="B40" s="13">
        <v>40</v>
      </c>
      <c r="C40" s="13">
        <v>10</v>
      </c>
      <c r="D40" s="13">
        <v>40</v>
      </c>
      <c r="E40" s="13">
        <f t="shared" si="0"/>
        <v>90</v>
      </c>
      <c r="F40" s="13">
        <v>70</v>
      </c>
      <c r="G40" s="13">
        <v>50</v>
      </c>
      <c r="H40" s="13">
        <f t="shared" si="1"/>
        <v>54</v>
      </c>
      <c r="I40" s="13">
        <f t="shared" si="2"/>
        <v>76</v>
      </c>
      <c r="J40" s="13">
        <f t="shared" si="3"/>
        <v>76</v>
      </c>
      <c r="K40" s="13">
        <f t="shared" si="4"/>
        <v>80.91</v>
      </c>
      <c r="L40" s="13">
        <f t="shared" si="5"/>
        <v>71.43</v>
      </c>
    </row>
    <row r="41" spans="1:12">
      <c r="A41" s="12">
        <v>38</v>
      </c>
      <c r="B41" s="13">
        <v>49</v>
      </c>
      <c r="C41" s="13">
        <v>10</v>
      </c>
      <c r="D41" s="13">
        <v>40</v>
      </c>
      <c r="E41" s="13">
        <f t="shared" si="0"/>
        <v>99</v>
      </c>
      <c r="F41" s="13">
        <v>90</v>
      </c>
      <c r="G41" s="13">
        <v>72</v>
      </c>
      <c r="H41" s="13">
        <f t="shared" si="1"/>
        <v>75.6</v>
      </c>
      <c r="I41" s="13">
        <f t="shared" si="2"/>
        <v>90</v>
      </c>
      <c r="J41" s="13">
        <f t="shared" si="3"/>
        <v>90</v>
      </c>
      <c r="K41" s="13">
        <f t="shared" si="4"/>
        <v>96.82</v>
      </c>
      <c r="L41" s="13">
        <f t="shared" si="5"/>
        <v>84</v>
      </c>
    </row>
    <row r="42" spans="1:12">
      <c r="A42" s="12">
        <v>39</v>
      </c>
      <c r="B42" s="13">
        <v>48</v>
      </c>
      <c r="C42" s="13">
        <v>10</v>
      </c>
      <c r="D42" s="13">
        <v>38</v>
      </c>
      <c r="E42" s="13">
        <f t="shared" si="0"/>
        <v>96</v>
      </c>
      <c r="F42" s="13">
        <v>80</v>
      </c>
      <c r="G42" s="13">
        <v>88</v>
      </c>
      <c r="H42" s="13">
        <f t="shared" si="1"/>
        <v>86.4</v>
      </c>
      <c r="I42" s="13">
        <f t="shared" si="2"/>
        <v>92</v>
      </c>
      <c r="J42" s="13">
        <f t="shared" si="3"/>
        <v>92</v>
      </c>
      <c r="K42" s="13">
        <f t="shared" si="4"/>
        <v>93.64</v>
      </c>
      <c r="L42" s="13">
        <f t="shared" si="5"/>
        <v>91</v>
      </c>
    </row>
    <row r="43" spans="1:12">
      <c r="A43" s="12">
        <v>40</v>
      </c>
      <c r="B43" s="13">
        <v>49</v>
      </c>
      <c r="C43" s="13">
        <v>10</v>
      </c>
      <c r="D43" s="13">
        <v>40</v>
      </c>
      <c r="E43" s="13">
        <f t="shared" si="0"/>
        <v>99</v>
      </c>
      <c r="F43" s="13">
        <v>90</v>
      </c>
      <c r="G43" s="13">
        <v>80</v>
      </c>
      <c r="H43" s="13">
        <f t="shared" si="1"/>
        <v>82</v>
      </c>
      <c r="I43" s="13">
        <f t="shared" si="2"/>
        <v>92</v>
      </c>
      <c r="J43" s="13">
        <f t="shared" si="3"/>
        <v>92</v>
      </c>
      <c r="K43" s="13">
        <f t="shared" si="4"/>
        <v>96.82</v>
      </c>
      <c r="L43" s="13">
        <f t="shared" si="5"/>
        <v>88.57</v>
      </c>
    </row>
    <row r="44" spans="1:12">
      <c r="A44" s="12">
        <v>41</v>
      </c>
      <c r="B44" s="13">
        <v>49</v>
      </c>
      <c r="C44" s="13">
        <v>10</v>
      </c>
      <c r="D44" s="13">
        <v>40</v>
      </c>
      <c r="E44" s="13">
        <f t="shared" si="0"/>
        <v>99</v>
      </c>
      <c r="F44" s="13">
        <v>90</v>
      </c>
      <c r="G44" s="13">
        <v>44</v>
      </c>
      <c r="H44" s="13">
        <f t="shared" si="1"/>
        <v>53.2</v>
      </c>
      <c r="I44" s="13">
        <f t="shared" si="2"/>
        <v>81</v>
      </c>
      <c r="J44" s="13">
        <f t="shared" si="3"/>
        <v>81</v>
      </c>
      <c r="K44" s="13">
        <f t="shared" si="4"/>
        <v>96.82</v>
      </c>
      <c r="L44" s="13">
        <f t="shared" si="5"/>
        <v>68</v>
      </c>
    </row>
    <row r="45" spans="1:12">
      <c r="A45" s="12">
        <v>42</v>
      </c>
      <c r="B45" s="13">
        <v>49</v>
      </c>
      <c r="C45" s="13">
        <v>10</v>
      </c>
      <c r="D45" s="13">
        <v>40</v>
      </c>
      <c r="E45" s="13">
        <f t="shared" si="0"/>
        <v>99</v>
      </c>
      <c r="F45" s="13">
        <v>90</v>
      </c>
      <c r="G45" s="13">
        <v>74</v>
      </c>
      <c r="H45" s="13">
        <f t="shared" si="1"/>
        <v>77.2</v>
      </c>
      <c r="I45" s="13">
        <f t="shared" si="2"/>
        <v>90</v>
      </c>
      <c r="J45" s="13">
        <f t="shared" si="3"/>
        <v>90</v>
      </c>
      <c r="K45" s="13">
        <f t="shared" si="4"/>
        <v>96.82</v>
      </c>
      <c r="L45" s="13">
        <f t="shared" si="5"/>
        <v>85.14</v>
      </c>
    </row>
    <row r="46" spans="1:12">
      <c r="A46" s="12">
        <v>43</v>
      </c>
      <c r="B46" s="13">
        <v>49</v>
      </c>
      <c r="C46" s="13">
        <v>10</v>
      </c>
      <c r="D46" s="13">
        <v>40</v>
      </c>
      <c r="E46" s="13">
        <f t="shared" si="0"/>
        <v>99</v>
      </c>
      <c r="F46" s="13">
        <v>90</v>
      </c>
      <c r="G46" s="13">
        <v>44</v>
      </c>
      <c r="H46" s="13">
        <f t="shared" si="1"/>
        <v>53.2</v>
      </c>
      <c r="I46" s="13">
        <f t="shared" si="2"/>
        <v>81</v>
      </c>
      <c r="J46" s="13">
        <f t="shared" si="3"/>
        <v>81</v>
      </c>
      <c r="K46" s="13">
        <f t="shared" si="4"/>
        <v>96.82</v>
      </c>
      <c r="L46" s="13">
        <f t="shared" si="5"/>
        <v>68</v>
      </c>
    </row>
    <row r="47" spans="1:12">
      <c r="A47" s="12">
        <v>44</v>
      </c>
      <c r="B47" s="13">
        <v>49</v>
      </c>
      <c r="C47" s="13">
        <v>10</v>
      </c>
      <c r="D47" s="13">
        <v>40</v>
      </c>
      <c r="E47" s="13">
        <f t="shared" si="0"/>
        <v>99</v>
      </c>
      <c r="F47" s="13">
        <v>90</v>
      </c>
      <c r="G47" s="13">
        <v>62</v>
      </c>
      <c r="H47" s="13">
        <f t="shared" si="1"/>
        <v>67.6</v>
      </c>
      <c r="I47" s="13">
        <f t="shared" si="2"/>
        <v>86</v>
      </c>
      <c r="J47" s="13">
        <f t="shared" si="3"/>
        <v>86</v>
      </c>
      <c r="K47" s="13">
        <f t="shared" si="4"/>
        <v>96.82</v>
      </c>
      <c r="L47" s="13">
        <f t="shared" si="5"/>
        <v>78.29</v>
      </c>
    </row>
    <row r="48" spans="1:12">
      <c r="A48" s="12">
        <v>45</v>
      </c>
      <c r="B48" s="13">
        <v>49</v>
      </c>
      <c r="C48" s="13">
        <v>10</v>
      </c>
      <c r="D48" s="13">
        <v>40</v>
      </c>
      <c r="E48" s="13">
        <f t="shared" si="0"/>
        <v>99</v>
      </c>
      <c r="F48" s="13">
        <v>90</v>
      </c>
      <c r="G48" s="13">
        <v>78</v>
      </c>
      <c r="H48" s="13">
        <f t="shared" si="1"/>
        <v>80.4</v>
      </c>
      <c r="I48" s="13">
        <f t="shared" si="2"/>
        <v>92</v>
      </c>
      <c r="J48" s="13">
        <f t="shared" si="3"/>
        <v>92</v>
      </c>
      <c r="K48" s="13">
        <f t="shared" si="4"/>
        <v>96.82</v>
      </c>
      <c r="L48" s="13">
        <f t="shared" si="5"/>
        <v>87.43</v>
      </c>
    </row>
    <row r="49" spans="1:12">
      <c r="A49" s="12">
        <v>46</v>
      </c>
      <c r="B49" s="13">
        <v>30</v>
      </c>
      <c r="C49" s="13">
        <v>9</v>
      </c>
      <c r="D49" s="13">
        <v>37</v>
      </c>
      <c r="E49" s="13">
        <f t="shared" si="0"/>
        <v>76</v>
      </c>
      <c r="F49" s="13">
        <v>70</v>
      </c>
      <c r="G49" s="13">
        <v>84</v>
      </c>
      <c r="H49" s="13">
        <f t="shared" si="1"/>
        <v>81.2</v>
      </c>
      <c r="I49" s="13">
        <f t="shared" si="2"/>
        <v>78</v>
      </c>
      <c r="J49" s="13">
        <f t="shared" si="3"/>
        <v>78</v>
      </c>
      <c r="K49" s="13">
        <f t="shared" si="4"/>
        <v>65.91</v>
      </c>
      <c r="L49" s="13">
        <f t="shared" si="5"/>
        <v>87.64</v>
      </c>
    </row>
    <row r="50" spans="1:12">
      <c r="A50" s="12">
        <v>47</v>
      </c>
      <c r="B50" s="13">
        <v>47</v>
      </c>
      <c r="C50" s="13">
        <v>9</v>
      </c>
      <c r="D50" s="13">
        <v>38</v>
      </c>
      <c r="E50" s="13">
        <f t="shared" si="0"/>
        <v>94</v>
      </c>
      <c r="F50" s="13">
        <v>90</v>
      </c>
      <c r="G50" s="13">
        <v>86</v>
      </c>
      <c r="H50" s="13">
        <f t="shared" si="1"/>
        <v>86.8</v>
      </c>
      <c r="I50" s="13">
        <f t="shared" si="2"/>
        <v>91</v>
      </c>
      <c r="J50" s="13">
        <f t="shared" si="3"/>
        <v>91</v>
      </c>
      <c r="K50" s="13">
        <f t="shared" si="4"/>
        <v>92.73</v>
      </c>
      <c r="L50" s="13">
        <f t="shared" si="5"/>
        <v>89.86</v>
      </c>
    </row>
    <row r="51" spans="1:12">
      <c r="A51" s="12">
        <v>48</v>
      </c>
      <c r="B51" s="13">
        <v>44</v>
      </c>
      <c r="C51" s="13">
        <v>10</v>
      </c>
      <c r="D51" s="13">
        <v>38</v>
      </c>
      <c r="E51" s="13">
        <f t="shared" si="0"/>
        <v>92</v>
      </c>
      <c r="F51" s="13">
        <v>90</v>
      </c>
      <c r="G51" s="13">
        <v>56</v>
      </c>
      <c r="H51" s="13">
        <f t="shared" si="1"/>
        <v>62.8</v>
      </c>
      <c r="I51" s="13">
        <f t="shared" si="2"/>
        <v>80</v>
      </c>
      <c r="J51" s="13">
        <f t="shared" si="3"/>
        <v>80</v>
      </c>
      <c r="K51" s="13">
        <f t="shared" si="4"/>
        <v>90</v>
      </c>
      <c r="L51" s="13">
        <f t="shared" si="5"/>
        <v>72.71</v>
      </c>
    </row>
    <row r="52" spans="1:12">
      <c r="A52" s="12">
        <v>49</v>
      </c>
      <c r="B52" s="13">
        <v>40</v>
      </c>
      <c r="C52" s="13">
        <v>10</v>
      </c>
      <c r="D52" s="13">
        <v>37</v>
      </c>
      <c r="E52" s="13">
        <f t="shared" si="0"/>
        <v>87</v>
      </c>
      <c r="F52" s="13">
        <v>90</v>
      </c>
      <c r="G52" s="13">
        <v>60</v>
      </c>
      <c r="H52" s="13">
        <f t="shared" si="1"/>
        <v>66</v>
      </c>
      <c r="I52" s="13">
        <f t="shared" si="2"/>
        <v>79</v>
      </c>
      <c r="J52" s="13">
        <f t="shared" si="3"/>
        <v>79</v>
      </c>
      <c r="K52" s="13">
        <f t="shared" si="4"/>
        <v>84.55</v>
      </c>
      <c r="L52" s="13">
        <f t="shared" si="5"/>
        <v>73.93</v>
      </c>
    </row>
    <row r="53" spans="1:12">
      <c r="A53" s="12">
        <v>50</v>
      </c>
      <c r="B53" s="13">
        <v>40</v>
      </c>
      <c r="C53" s="13">
        <v>10</v>
      </c>
      <c r="D53" s="13">
        <v>40</v>
      </c>
      <c r="E53" s="13">
        <f t="shared" si="0"/>
        <v>90</v>
      </c>
      <c r="F53" s="13">
        <v>90</v>
      </c>
      <c r="G53" s="13">
        <v>50</v>
      </c>
      <c r="H53" s="13">
        <f t="shared" si="1"/>
        <v>58</v>
      </c>
      <c r="I53" s="13">
        <f t="shared" si="2"/>
        <v>77</v>
      </c>
      <c r="J53" s="13">
        <f t="shared" si="3"/>
        <v>77</v>
      </c>
      <c r="K53" s="13">
        <f t="shared" si="4"/>
        <v>84.55</v>
      </c>
      <c r="L53" s="13">
        <f t="shared" si="5"/>
        <v>71.43</v>
      </c>
    </row>
    <row r="54" spans="1:12">
      <c r="A54" s="12">
        <v>51</v>
      </c>
      <c r="B54" s="13">
        <v>49</v>
      </c>
      <c r="C54" s="13">
        <v>10</v>
      </c>
      <c r="D54" s="13">
        <v>40</v>
      </c>
      <c r="E54" s="13">
        <f t="shared" si="0"/>
        <v>99</v>
      </c>
      <c r="F54" s="13">
        <v>90</v>
      </c>
      <c r="G54" s="13">
        <v>84</v>
      </c>
      <c r="H54" s="13">
        <f t="shared" si="1"/>
        <v>85.2</v>
      </c>
      <c r="I54" s="13">
        <f t="shared" si="2"/>
        <v>93</v>
      </c>
      <c r="J54" s="13">
        <f t="shared" si="3"/>
        <v>93</v>
      </c>
      <c r="K54" s="13">
        <f t="shared" si="4"/>
        <v>96.82</v>
      </c>
      <c r="L54" s="13">
        <f t="shared" si="5"/>
        <v>90.86</v>
      </c>
    </row>
    <row r="55" spans="1:12">
      <c r="A55" s="12">
        <v>52</v>
      </c>
      <c r="B55" s="13">
        <v>49</v>
      </c>
      <c r="C55" s="13">
        <v>9</v>
      </c>
      <c r="D55" s="13">
        <v>36</v>
      </c>
      <c r="E55" s="13">
        <f t="shared" si="0"/>
        <v>94</v>
      </c>
      <c r="F55" s="13">
        <v>80</v>
      </c>
      <c r="G55" s="13">
        <v>82</v>
      </c>
      <c r="H55" s="13">
        <f t="shared" si="1"/>
        <v>81.6</v>
      </c>
      <c r="I55" s="13">
        <f t="shared" si="2"/>
        <v>89</v>
      </c>
      <c r="J55" s="13">
        <f t="shared" si="3"/>
        <v>89</v>
      </c>
      <c r="K55" s="13">
        <f t="shared" si="4"/>
        <v>93.64</v>
      </c>
      <c r="L55" s="13">
        <f t="shared" si="5"/>
        <v>85.43</v>
      </c>
    </row>
    <row r="56" spans="1:12">
      <c r="A56" s="12">
        <v>53</v>
      </c>
      <c r="B56" s="13">
        <v>33</v>
      </c>
      <c r="C56" s="13">
        <v>10</v>
      </c>
      <c r="D56" s="13">
        <v>39</v>
      </c>
      <c r="E56" s="13">
        <f t="shared" si="0"/>
        <v>82</v>
      </c>
      <c r="F56" s="13">
        <v>70</v>
      </c>
      <c r="G56" s="13">
        <v>78</v>
      </c>
      <c r="H56" s="13">
        <f t="shared" si="1"/>
        <v>76.4</v>
      </c>
      <c r="I56" s="13">
        <f t="shared" si="2"/>
        <v>80</v>
      </c>
      <c r="J56" s="13">
        <f t="shared" si="3"/>
        <v>80</v>
      </c>
      <c r="K56" s="13">
        <f t="shared" si="4"/>
        <v>71.36</v>
      </c>
      <c r="L56" s="13">
        <f t="shared" si="5"/>
        <v>86.36</v>
      </c>
    </row>
    <row r="57" spans="1:12">
      <c r="A57" s="12">
        <v>54</v>
      </c>
      <c r="B57" s="13">
        <v>49</v>
      </c>
      <c r="C57" s="13">
        <v>10</v>
      </c>
      <c r="D57" s="13">
        <v>39</v>
      </c>
      <c r="E57" s="13">
        <f t="shared" si="0"/>
        <v>98</v>
      </c>
      <c r="F57" s="13">
        <v>60</v>
      </c>
      <c r="G57" s="13">
        <v>88</v>
      </c>
      <c r="H57" s="13">
        <f t="shared" si="1"/>
        <v>82.4</v>
      </c>
      <c r="I57" s="13">
        <f t="shared" si="2"/>
        <v>92</v>
      </c>
      <c r="J57" s="13">
        <f t="shared" si="3"/>
        <v>92</v>
      </c>
      <c r="K57" s="13">
        <f t="shared" si="4"/>
        <v>91.36</v>
      </c>
      <c r="L57" s="13">
        <f t="shared" si="5"/>
        <v>92.07</v>
      </c>
    </row>
    <row r="58" spans="1:12">
      <c r="A58" s="12">
        <v>55</v>
      </c>
      <c r="B58" s="13">
        <v>49</v>
      </c>
      <c r="C58" s="13">
        <v>10</v>
      </c>
      <c r="D58" s="13">
        <v>40</v>
      </c>
      <c r="E58" s="13">
        <f t="shared" si="0"/>
        <v>99</v>
      </c>
      <c r="F58" s="13">
        <v>80</v>
      </c>
      <c r="G58" s="13">
        <v>82</v>
      </c>
      <c r="H58" s="13">
        <f t="shared" si="1"/>
        <v>81.6</v>
      </c>
      <c r="I58" s="13">
        <f t="shared" si="2"/>
        <v>92</v>
      </c>
      <c r="J58" s="13">
        <f t="shared" si="3"/>
        <v>92</v>
      </c>
      <c r="K58" s="13">
        <f t="shared" si="4"/>
        <v>95</v>
      </c>
      <c r="L58" s="13">
        <f t="shared" si="5"/>
        <v>89.71</v>
      </c>
    </row>
    <row r="59" spans="1:12">
      <c r="A59" s="12">
        <v>56</v>
      </c>
      <c r="B59" s="13">
        <v>31</v>
      </c>
      <c r="C59" s="13">
        <v>7</v>
      </c>
      <c r="D59" s="13">
        <v>30</v>
      </c>
      <c r="E59" s="13">
        <f t="shared" si="0"/>
        <v>68</v>
      </c>
      <c r="F59" s="13">
        <v>90</v>
      </c>
      <c r="G59" s="13">
        <v>72</v>
      </c>
      <c r="H59" s="13">
        <f t="shared" si="1"/>
        <v>75.6</v>
      </c>
      <c r="I59" s="13">
        <f t="shared" si="2"/>
        <v>71</v>
      </c>
      <c r="J59" s="13">
        <f t="shared" si="3"/>
        <v>71</v>
      </c>
      <c r="K59" s="13">
        <f t="shared" si="4"/>
        <v>68.18</v>
      </c>
      <c r="L59" s="13">
        <f t="shared" si="5"/>
        <v>73.29</v>
      </c>
    </row>
    <row r="60" spans="1:12">
      <c r="A60" s="12">
        <v>57</v>
      </c>
      <c r="B60" s="13">
        <v>49</v>
      </c>
      <c r="C60" s="13">
        <v>10</v>
      </c>
      <c r="D60" s="13">
        <v>38</v>
      </c>
      <c r="E60" s="13">
        <f t="shared" si="0"/>
        <v>97</v>
      </c>
      <c r="F60" s="13">
        <v>60</v>
      </c>
      <c r="G60" s="13">
        <v>70</v>
      </c>
      <c r="H60" s="13">
        <f t="shared" si="1"/>
        <v>68</v>
      </c>
      <c r="I60" s="13">
        <f t="shared" si="2"/>
        <v>85</v>
      </c>
      <c r="J60" s="13">
        <f t="shared" si="3"/>
        <v>85</v>
      </c>
      <c r="K60" s="13">
        <f t="shared" si="4"/>
        <v>91.36</v>
      </c>
      <c r="L60" s="13">
        <f t="shared" si="5"/>
        <v>80.71</v>
      </c>
    </row>
    <row r="61" spans="1:1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</sheetData>
  <mergeCells count="4">
    <mergeCell ref="A1:L1"/>
    <mergeCell ref="B2:E2"/>
    <mergeCell ref="F2:H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ZYPi</cp:lastModifiedBy>
  <dcterms:created xsi:type="dcterms:W3CDTF">2020-01-01T20:24:00Z</dcterms:created>
  <dcterms:modified xsi:type="dcterms:W3CDTF">2026-06-21T12:32:43Z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ICV">
    <vt:lpwstr>36A03FEFEC54FE1C03F6656830C948D9_43</vt:lpwstr>
  </property>
  <property fmtid="{D5CDD505-2E9C-101B-9397-08002B2CF9AE}" pid="4" name="CalculationRule">
    <vt:i4>0</vt:i4>
  </property>
</Properties>
</file>